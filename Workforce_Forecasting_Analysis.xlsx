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hnbordelon/Library/Mobile Documents/com~apple~CloudDocs/"/>
    </mc:Choice>
  </mc:AlternateContent>
  <xr:revisionPtr revIDLastSave="0" documentId="8_{1E031CD8-ACED-7440-84C5-05842AF5BB53}" xr6:coauthVersionLast="47" xr6:coauthVersionMax="47" xr10:uidLastSave="{00000000-0000-0000-0000-000000000000}"/>
  <bookViews>
    <workbookView xWindow="1740" yWindow="600" windowWidth="33620" windowHeight="19480" activeTab="1" xr2:uid="{00000000-000D-0000-FFFF-FFFF00000000}"/>
  </bookViews>
  <sheets>
    <sheet name="START HERE" sheetId="1" state="hidden" r:id="rId1"/>
    <sheet name="Dashboard" sheetId="2" r:id="rId2"/>
    <sheet name="Daily Forecast" sheetId="3" r:id="rId3"/>
    <sheet name="30-Min Intervals" sheetId="4" r:id="rId4"/>
    <sheet name="Assumptions" sheetId="5" r:id="rId5"/>
  </sheets>
  <definedNames>
    <definedName name="_xlchart.v1.0" hidden="1">'Daily Forecast'!$A$2:$A$15</definedName>
    <definedName name="_xlchart.v1.1" hidden="1">'Daily Forecast'!$B$2:$B$15</definedName>
    <definedName name="_xlchart.v1.10" hidden="1">'Daily Forecast'!$C$2:$C$15</definedName>
    <definedName name="_xlchart.v1.11" hidden="1">'Daily Forecast'!$A$2:$A$15</definedName>
    <definedName name="_xlchart.v1.12" hidden="1">'Daily Forecast'!$B$2:$B$15</definedName>
    <definedName name="_xlchart.v1.13" hidden="1">'Daily Forecast'!$C$2:$C$15</definedName>
    <definedName name="_xlchart.v1.14" hidden="1">'Daily Forecast'!$A$2:$A$15</definedName>
    <definedName name="_xlchart.v1.15" hidden="1">'Daily Forecast'!$B$2:$B$15</definedName>
    <definedName name="_xlchart.v1.16" hidden="1">'Daily Forecast'!$C$2:$C$15</definedName>
    <definedName name="_xlchart.v1.17" hidden="1">'Daily Forecast'!$H$2:$H$15</definedName>
    <definedName name="_xlchart.v1.18" hidden="1">'Daily Forecast'!$A$2:$A$15</definedName>
    <definedName name="_xlchart.v1.19" hidden="1">'Daily Forecast'!$B$2:$B$15</definedName>
    <definedName name="_xlchart.v1.2" hidden="1">'Daily Forecast'!$C$2:$C$15</definedName>
    <definedName name="_xlchart.v1.20" hidden="1">'Daily Forecast'!$C$2:$C$15</definedName>
    <definedName name="_xlchart.v1.21" hidden="1">'Daily Forecast'!$H$2:$H$15</definedName>
    <definedName name="_xlchart.v1.22" hidden="1">'Daily Forecast'!$A$2:$A$15</definedName>
    <definedName name="_xlchart.v1.23" hidden="1">'Daily Forecast'!$B$2:$B$15</definedName>
    <definedName name="_xlchart.v1.24" hidden="1">'Daily Forecast'!$C$2:$C$15</definedName>
    <definedName name="_xlchart.v1.25" hidden="1">'Daily Forecast'!$H$2:$H$15</definedName>
    <definedName name="_xlchart.v1.26" hidden="1">'Daily Forecast'!$A$2:$A$15</definedName>
    <definedName name="_xlchart.v1.27" hidden="1">'Daily Forecast'!$B$2:$B$15</definedName>
    <definedName name="_xlchart.v1.28" hidden="1">'Daily Forecast'!$C$2:$C$15</definedName>
    <definedName name="_xlchart.v1.29" hidden="1">'Daily Forecast'!$H$2:$H$15</definedName>
    <definedName name="_xlchart.v1.3" hidden="1">'Daily Forecast'!$A$2:$A$15</definedName>
    <definedName name="_xlchart.v1.4" hidden="1">'Daily Forecast'!$H$2:$H$15</definedName>
    <definedName name="_xlchart.v1.5" hidden="1">'Daily Forecast'!$A$2:$A$15</definedName>
    <definedName name="_xlchart.v1.6" hidden="1">'Daily Forecast'!$B$2:$B$15</definedName>
    <definedName name="_xlchart.v1.7" hidden="1">'Daily Forecast'!$C$2:$C$15</definedName>
    <definedName name="_xlchart.v1.8" hidden="1">'Daily Forecast'!$A$2:$A$15</definedName>
    <definedName name="_xlchart.v1.9" hidden="1">'Daily Forecast'!$B$2:$B$15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G4" i="2"/>
  <c r="A1" i="2"/>
  <c r="B4" i="2"/>
  <c r="E4" i="2"/>
  <c r="B5" i="2"/>
  <c r="E5" i="2"/>
  <c r="B6" i="2"/>
  <c r="E6" i="2"/>
  <c r="B7" i="2"/>
  <c r="E7" i="2" a="1"/>
  <c r="E7" i="2" s="1"/>
  <c r="H16" i="3"/>
  <c r="G16" i="3"/>
  <c r="G14" i="3"/>
  <c r="H14" i="3"/>
  <c r="J281" i="4"/>
  <c r="I281" i="4"/>
  <c r="H281" i="4"/>
  <c r="F281" i="4"/>
  <c r="G281" i="4" s="1"/>
  <c r="E281" i="4"/>
  <c r="J280" i="4"/>
  <c r="I280" i="4"/>
  <c r="H280" i="4"/>
  <c r="F280" i="4"/>
  <c r="G280" i="4" s="1"/>
  <c r="E280" i="4"/>
  <c r="J279" i="4"/>
  <c r="I279" i="4"/>
  <c r="H279" i="4"/>
  <c r="E279" i="4"/>
  <c r="F279" i="4" s="1"/>
  <c r="G279" i="4" s="1"/>
  <c r="J278" i="4"/>
  <c r="H278" i="4"/>
  <c r="I278" i="4" s="1"/>
  <c r="F278" i="4"/>
  <c r="G278" i="4" s="1"/>
  <c r="E278" i="4"/>
  <c r="J277" i="4"/>
  <c r="H277" i="4"/>
  <c r="I277" i="4" s="1"/>
  <c r="F277" i="4"/>
  <c r="G277" i="4" s="1"/>
  <c r="E277" i="4"/>
  <c r="J276" i="4"/>
  <c r="I276" i="4"/>
  <c r="H276" i="4"/>
  <c r="E276" i="4"/>
  <c r="F276" i="4" s="1"/>
  <c r="G276" i="4" s="1"/>
  <c r="J275" i="4"/>
  <c r="H275" i="4"/>
  <c r="I275" i="4" s="1"/>
  <c r="E275" i="4"/>
  <c r="F275" i="4" s="1"/>
  <c r="G275" i="4" s="1"/>
  <c r="J274" i="4"/>
  <c r="H274" i="4"/>
  <c r="I274" i="4" s="1"/>
  <c r="E274" i="4"/>
  <c r="F274" i="4" s="1"/>
  <c r="G274" i="4" s="1"/>
  <c r="J273" i="4"/>
  <c r="I273" i="4"/>
  <c r="H273" i="4"/>
  <c r="F273" i="4"/>
  <c r="G273" i="4" s="1"/>
  <c r="E273" i="4"/>
  <c r="J272" i="4"/>
  <c r="H272" i="4"/>
  <c r="I272" i="4" s="1"/>
  <c r="F272" i="4"/>
  <c r="G272" i="4" s="1"/>
  <c r="E272" i="4"/>
  <c r="J271" i="4"/>
  <c r="H271" i="4"/>
  <c r="I271" i="4" s="1"/>
  <c r="E271" i="4"/>
  <c r="F271" i="4" s="1"/>
  <c r="G271" i="4" s="1"/>
  <c r="J270" i="4"/>
  <c r="H270" i="4"/>
  <c r="I270" i="4" s="1"/>
  <c r="F270" i="4"/>
  <c r="G270" i="4" s="1"/>
  <c r="E270" i="4"/>
  <c r="J269" i="4"/>
  <c r="H269" i="4"/>
  <c r="I269" i="4" s="1"/>
  <c r="F269" i="4"/>
  <c r="G269" i="4" s="1"/>
  <c r="E269" i="4"/>
  <c r="J268" i="4"/>
  <c r="I268" i="4"/>
  <c r="H268" i="4"/>
  <c r="F268" i="4"/>
  <c r="G268" i="4" s="1"/>
  <c r="E268" i="4"/>
  <c r="J267" i="4"/>
  <c r="H267" i="4"/>
  <c r="I267" i="4" s="1"/>
  <c r="E267" i="4"/>
  <c r="F267" i="4" s="1"/>
  <c r="G267" i="4" s="1"/>
  <c r="J266" i="4"/>
  <c r="H266" i="4"/>
  <c r="I266" i="4" s="1"/>
  <c r="E266" i="4"/>
  <c r="F266" i="4" s="1"/>
  <c r="G266" i="4" s="1"/>
  <c r="J265" i="4"/>
  <c r="H265" i="4"/>
  <c r="I265" i="4" s="1"/>
  <c r="F265" i="4"/>
  <c r="G265" i="4" s="1"/>
  <c r="E265" i="4"/>
  <c r="J264" i="4"/>
  <c r="H264" i="4"/>
  <c r="I264" i="4" s="1"/>
  <c r="F264" i="4"/>
  <c r="G264" i="4" s="1"/>
  <c r="E264" i="4"/>
  <c r="J263" i="4"/>
  <c r="H263" i="4"/>
  <c r="I263" i="4" s="1"/>
  <c r="E263" i="4"/>
  <c r="F263" i="4" s="1"/>
  <c r="G263" i="4" s="1"/>
  <c r="J262" i="4"/>
  <c r="H262" i="4"/>
  <c r="I262" i="4" s="1"/>
  <c r="F262" i="4"/>
  <c r="G262" i="4" s="1"/>
  <c r="E262" i="4"/>
  <c r="J261" i="4"/>
  <c r="H261" i="4"/>
  <c r="I261" i="4" s="1"/>
  <c r="F261" i="4"/>
  <c r="G261" i="4" s="1"/>
  <c r="E261" i="4"/>
  <c r="J260" i="4"/>
  <c r="I260" i="4"/>
  <c r="H260" i="4"/>
  <c r="F260" i="4"/>
  <c r="G260" i="4" s="1"/>
  <c r="E260" i="4"/>
  <c r="J259" i="4"/>
  <c r="H259" i="4"/>
  <c r="I259" i="4" s="1"/>
  <c r="E259" i="4"/>
  <c r="F259" i="4" s="1"/>
  <c r="G259" i="4" s="1"/>
  <c r="J258" i="4"/>
  <c r="H258" i="4"/>
  <c r="I258" i="4" s="1"/>
  <c r="E258" i="4"/>
  <c r="F258" i="4" s="1"/>
  <c r="G258" i="4" s="1"/>
  <c r="J257" i="4"/>
  <c r="H257" i="4"/>
  <c r="I257" i="4" s="1"/>
  <c r="F257" i="4"/>
  <c r="G257" i="4" s="1"/>
  <c r="E257" i="4"/>
  <c r="J256" i="4"/>
  <c r="H256" i="4"/>
  <c r="I256" i="4" s="1"/>
  <c r="F256" i="4"/>
  <c r="G256" i="4" s="1"/>
  <c r="E256" i="4"/>
  <c r="J255" i="4"/>
  <c r="H255" i="4"/>
  <c r="I255" i="4" s="1"/>
  <c r="E255" i="4"/>
  <c r="F255" i="4" s="1"/>
  <c r="G255" i="4" s="1"/>
  <c r="J254" i="4"/>
  <c r="H254" i="4"/>
  <c r="I254" i="4" s="1"/>
  <c r="F254" i="4"/>
  <c r="G254" i="4" s="1"/>
  <c r="E254" i="4"/>
  <c r="J253" i="4"/>
  <c r="H253" i="4"/>
  <c r="I253" i="4" s="1"/>
  <c r="F253" i="4"/>
  <c r="G253" i="4" s="1"/>
  <c r="E253" i="4"/>
  <c r="J252" i="4"/>
  <c r="I252" i="4"/>
  <c r="H252" i="4"/>
  <c r="F252" i="4"/>
  <c r="G252" i="4" s="1"/>
  <c r="E252" i="4"/>
  <c r="J251" i="4"/>
  <c r="H251" i="4"/>
  <c r="I251" i="4" s="1"/>
  <c r="E251" i="4"/>
  <c r="F251" i="4" s="1"/>
  <c r="G251" i="4" s="1"/>
  <c r="J250" i="4"/>
  <c r="H250" i="4"/>
  <c r="I250" i="4" s="1"/>
  <c r="E250" i="4"/>
  <c r="F250" i="4" s="1"/>
  <c r="G250" i="4" s="1"/>
  <c r="J249" i="4"/>
  <c r="H249" i="4"/>
  <c r="I249" i="4" s="1"/>
  <c r="F249" i="4"/>
  <c r="G249" i="4" s="1"/>
  <c r="E249" i="4"/>
  <c r="J248" i="4"/>
  <c r="H248" i="4"/>
  <c r="I248" i="4" s="1"/>
  <c r="F248" i="4"/>
  <c r="G248" i="4" s="1"/>
  <c r="E248" i="4"/>
  <c r="J247" i="4"/>
  <c r="H247" i="4"/>
  <c r="I247" i="4" s="1"/>
  <c r="E247" i="4"/>
  <c r="F247" i="4" s="1"/>
  <c r="G247" i="4" s="1"/>
  <c r="J246" i="4"/>
  <c r="H246" i="4"/>
  <c r="I246" i="4" s="1"/>
  <c r="F246" i="4"/>
  <c r="G246" i="4" s="1"/>
  <c r="E246" i="4"/>
  <c r="J245" i="4"/>
  <c r="H245" i="4"/>
  <c r="I245" i="4" s="1"/>
  <c r="F245" i="4"/>
  <c r="G245" i="4" s="1"/>
  <c r="E245" i="4"/>
  <c r="J244" i="4"/>
  <c r="I244" i="4"/>
  <c r="H244" i="4"/>
  <c r="F244" i="4"/>
  <c r="G244" i="4" s="1"/>
  <c r="E244" i="4"/>
  <c r="J243" i="4"/>
  <c r="H243" i="4"/>
  <c r="I243" i="4" s="1"/>
  <c r="E243" i="4"/>
  <c r="F243" i="4" s="1"/>
  <c r="G243" i="4" s="1"/>
  <c r="J242" i="4"/>
  <c r="H242" i="4"/>
  <c r="I242" i="4" s="1"/>
  <c r="E242" i="4"/>
  <c r="F242" i="4" s="1"/>
  <c r="G242" i="4" s="1"/>
  <c r="J241" i="4"/>
  <c r="H241" i="4"/>
  <c r="I241" i="4" s="1"/>
  <c r="F241" i="4"/>
  <c r="G241" i="4" s="1"/>
  <c r="E241" i="4"/>
  <c r="J240" i="4"/>
  <c r="H240" i="4"/>
  <c r="I240" i="4" s="1"/>
  <c r="F240" i="4"/>
  <c r="G240" i="4" s="1"/>
  <c r="E240" i="4"/>
  <c r="J239" i="4"/>
  <c r="H239" i="4"/>
  <c r="I239" i="4" s="1"/>
  <c r="E239" i="4"/>
  <c r="F239" i="4" s="1"/>
  <c r="G239" i="4" s="1"/>
  <c r="J238" i="4"/>
  <c r="H238" i="4"/>
  <c r="I238" i="4" s="1"/>
  <c r="F238" i="4"/>
  <c r="G238" i="4" s="1"/>
  <c r="E238" i="4"/>
  <c r="J237" i="4"/>
  <c r="H237" i="4"/>
  <c r="I237" i="4" s="1"/>
  <c r="F237" i="4"/>
  <c r="G237" i="4" s="1"/>
  <c r="E237" i="4"/>
  <c r="J236" i="4"/>
  <c r="I236" i="4"/>
  <c r="H236" i="4"/>
  <c r="F236" i="4"/>
  <c r="G236" i="4" s="1"/>
  <c r="E236" i="4"/>
  <c r="J235" i="4"/>
  <c r="H235" i="4"/>
  <c r="I235" i="4" s="1"/>
  <c r="E235" i="4"/>
  <c r="F235" i="4" s="1"/>
  <c r="G235" i="4" s="1"/>
  <c r="J234" i="4"/>
  <c r="H234" i="4"/>
  <c r="I234" i="4" s="1"/>
  <c r="E234" i="4"/>
  <c r="F234" i="4" s="1"/>
  <c r="G234" i="4" s="1"/>
  <c r="J233" i="4"/>
  <c r="H233" i="4"/>
  <c r="I233" i="4" s="1"/>
  <c r="F233" i="4"/>
  <c r="G233" i="4" s="1"/>
  <c r="E233" i="4"/>
  <c r="J232" i="4"/>
  <c r="H232" i="4"/>
  <c r="I232" i="4" s="1"/>
  <c r="F232" i="4"/>
  <c r="G232" i="4" s="1"/>
  <c r="E232" i="4"/>
  <c r="J231" i="4"/>
  <c r="H231" i="4"/>
  <c r="I231" i="4" s="1"/>
  <c r="E231" i="4"/>
  <c r="F231" i="4" s="1"/>
  <c r="G231" i="4" s="1"/>
  <c r="J230" i="4"/>
  <c r="H230" i="4"/>
  <c r="I230" i="4" s="1"/>
  <c r="F230" i="4"/>
  <c r="G230" i="4" s="1"/>
  <c r="E230" i="4"/>
  <c r="J229" i="4"/>
  <c r="H229" i="4"/>
  <c r="I229" i="4" s="1"/>
  <c r="F229" i="4"/>
  <c r="G229" i="4" s="1"/>
  <c r="E229" i="4"/>
  <c r="J228" i="4"/>
  <c r="I228" i="4"/>
  <c r="H228" i="4"/>
  <c r="F228" i="4"/>
  <c r="G228" i="4" s="1"/>
  <c r="E228" i="4"/>
  <c r="J227" i="4"/>
  <c r="H227" i="4"/>
  <c r="I227" i="4" s="1"/>
  <c r="E227" i="4"/>
  <c r="F227" i="4" s="1"/>
  <c r="G227" i="4" s="1"/>
  <c r="J226" i="4"/>
  <c r="H226" i="4"/>
  <c r="I226" i="4" s="1"/>
  <c r="E226" i="4"/>
  <c r="F226" i="4" s="1"/>
  <c r="G226" i="4" s="1"/>
  <c r="J225" i="4"/>
  <c r="H225" i="4"/>
  <c r="I225" i="4" s="1"/>
  <c r="F225" i="4"/>
  <c r="G225" i="4" s="1"/>
  <c r="E225" i="4"/>
  <c r="J224" i="4"/>
  <c r="H224" i="4"/>
  <c r="I224" i="4" s="1"/>
  <c r="F224" i="4"/>
  <c r="G224" i="4" s="1"/>
  <c r="E224" i="4"/>
  <c r="J223" i="4"/>
  <c r="H223" i="4"/>
  <c r="I223" i="4" s="1"/>
  <c r="E223" i="4"/>
  <c r="F223" i="4" s="1"/>
  <c r="G223" i="4" s="1"/>
  <c r="J222" i="4"/>
  <c r="H222" i="4"/>
  <c r="I222" i="4" s="1"/>
  <c r="F222" i="4"/>
  <c r="G222" i="4" s="1"/>
  <c r="E222" i="4"/>
  <c r="J221" i="4"/>
  <c r="H221" i="4"/>
  <c r="I221" i="4" s="1"/>
  <c r="F221" i="4"/>
  <c r="G221" i="4" s="1"/>
  <c r="E221" i="4"/>
  <c r="J220" i="4"/>
  <c r="I220" i="4"/>
  <c r="H220" i="4"/>
  <c r="F220" i="4"/>
  <c r="G220" i="4" s="1"/>
  <c r="E220" i="4"/>
  <c r="J219" i="4"/>
  <c r="H219" i="4"/>
  <c r="I219" i="4" s="1"/>
  <c r="E219" i="4"/>
  <c r="F219" i="4" s="1"/>
  <c r="G219" i="4" s="1"/>
  <c r="J218" i="4"/>
  <c r="H218" i="4"/>
  <c r="I218" i="4" s="1"/>
  <c r="E218" i="4"/>
  <c r="F218" i="4" s="1"/>
  <c r="G218" i="4" s="1"/>
  <c r="J217" i="4"/>
  <c r="H217" i="4"/>
  <c r="I217" i="4" s="1"/>
  <c r="F217" i="4"/>
  <c r="G217" i="4" s="1"/>
  <c r="E217" i="4"/>
  <c r="J216" i="4"/>
  <c r="H216" i="4"/>
  <c r="I216" i="4" s="1"/>
  <c r="F216" i="4"/>
  <c r="G216" i="4" s="1"/>
  <c r="E216" i="4"/>
  <c r="J215" i="4"/>
  <c r="H215" i="4"/>
  <c r="I215" i="4" s="1"/>
  <c r="E215" i="4"/>
  <c r="F215" i="4" s="1"/>
  <c r="G215" i="4" s="1"/>
  <c r="J214" i="4"/>
  <c r="H214" i="4"/>
  <c r="I214" i="4" s="1"/>
  <c r="F214" i="4"/>
  <c r="G214" i="4" s="1"/>
  <c r="E214" i="4"/>
  <c r="J213" i="4"/>
  <c r="H213" i="4"/>
  <c r="I213" i="4" s="1"/>
  <c r="F213" i="4"/>
  <c r="G213" i="4" s="1"/>
  <c r="E213" i="4"/>
  <c r="J212" i="4"/>
  <c r="I212" i="4"/>
  <c r="H212" i="4"/>
  <c r="F212" i="4"/>
  <c r="G212" i="4" s="1"/>
  <c r="E212" i="4"/>
  <c r="J211" i="4"/>
  <c r="H211" i="4"/>
  <c r="I211" i="4" s="1"/>
  <c r="E211" i="4"/>
  <c r="F211" i="4" s="1"/>
  <c r="G211" i="4" s="1"/>
  <c r="J210" i="4"/>
  <c r="H210" i="4"/>
  <c r="I210" i="4" s="1"/>
  <c r="E210" i="4"/>
  <c r="F210" i="4" s="1"/>
  <c r="G210" i="4" s="1"/>
  <c r="J209" i="4"/>
  <c r="H209" i="4"/>
  <c r="I209" i="4" s="1"/>
  <c r="F209" i="4"/>
  <c r="G209" i="4" s="1"/>
  <c r="E209" i="4"/>
  <c r="J208" i="4"/>
  <c r="H208" i="4"/>
  <c r="I208" i="4" s="1"/>
  <c r="F208" i="4"/>
  <c r="G208" i="4" s="1"/>
  <c r="E208" i="4"/>
  <c r="J207" i="4"/>
  <c r="H207" i="4"/>
  <c r="I207" i="4" s="1"/>
  <c r="F207" i="4"/>
  <c r="G207" i="4" s="1"/>
  <c r="E207" i="4"/>
  <c r="J206" i="4"/>
  <c r="H206" i="4"/>
  <c r="I206" i="4" s="1"/>
  <c r="F206" i="4"/>
  <c r="G206" i="4" s="1"/>
  <c r="E206" i="4"/>
  <c r="J205" i="4"/>
  <c r="H205" i="4"/>
  <c r="I205" i="4" s="1"/>
  <c r="F205" i="4"/>
  <c r="G205" i="4" s="1"/>
  <c r="E205" i="4"/>
  <c r="J204" i="4"/>
  <c r="H204" i="4"/>
  <c r="I204" i="4" s="1"/>
  <c r="F204" i="4"/>
  <c r="G204" i="4" s="1"/>
  <c r="E204" i="4"/>
  <c r="J203" i="4"/>
  <c r="H203" i="4"/>
  <c r="I203" i="4" s="1"/>
  <c r="E203" i="4"/>
  <c r="F203" i="4" s="1"/>
  <c r="G203" i="4" s="1"/>
  <c r="J202" i="4"/>
  <c r="H202" i="4"/>
  <c r="I202" i="4" s="1"/>
  <c r="E202" i="4"/>
  <c r="F202" i="4" s="1"/>
  <c r="G202" i="4" s="1"/>
  <c r="J201" i="4"/>
  <c r="H201" i="4"/>
  <c r="I201" i="4" s="1"/>
  <c r="F201" i="4"/>
  <c r="G201" i="4" s="1"/>
  <c r="E201" i="4"/>
  <c r="J200" i="4"/>
  <c r="H200" i="4"/>
  <c r="I200" i="4" s="1"/>
  <c r="F200" i="4"/>
  <c r="G200" i="4" s="1"/>
  <c r="E200" i="4"/>
  <c r="J199" i="4"/>
  <c r="H199" i="4"/>
  <c r="I199" i="4" s="1"/>
  <c r="F199" i="4"/>
  <c r="G199" i="4" s="1"/>
  <c r="E199" i="4"/>
  <c r="J198" i="4"/>
  <c r="H198" i="4"/>
  <c r="I198" i="4" s="1"/>
  <c r="F198" i="4"/>
  <c r="G198" i="4" s="1"/>
  <c r="E198" i="4"/>
  <c r="J197" i="4"/>
  <c r="H197" i="4"/>
  <c r="I197" i="4" s="1"/>
  <c r="F197" i="4"/>
  <c r="G197" i="4" s="1"/>
  <c r="E197" i="4"/>
  <c r="J196" i="4"/>
  <c r="H196" i="4"/>
  <c r="I196" i="4" s="1"/>
  <c r="F196" i="4"/>
  <c r="G196" i="4" s="1"/>
  <c r="E196" i="4"/>
  <c r="J195" i="4"/>
  <c r="H195" i="4"/>
  <c r="I195" i="4" s="1"/>
  <c r="F195" i="4"/>
  <c r="G195" i="4" s="1"/>
  <c r="E195" i="4"/>
  <c r="J194" i="4"/>
  <c r="H194" i="4"/>
  <c r="I194" i="4" s="1"/>
  <c r="E194" i="4"/>
  <c r="F194" i="4" s="1"/>
  <c r="G194" i="4" s="1"/>
  <c r="J193" i="4"/>
  <c r="H193" i="4"/>
  <c r="I193" i="4" s="1"/>
  <c r="F193" i="4"/>
  <c r="G193" i="4" s="1"/>
  <c r="E193" i="4"/>
  <c r="J192" i="4"/>
  <c r="H192" i="4"/>
  <c r="I192" i="4" s="1"/>
  <c r="F192" i="4"/>
  <c r="G192" i="4" s="1"/>
  <c r="E192" i="4"/>
  <c r="J191" i="4"/>
  <c r="H191" i="4"/>
  <c r="I191" i="4" s="1"/>
  <c r="F191" i="4"/>
  <c r="G191" i="4" s="1"/>
  <c r="E191" i="4"/>
  <c r="J190" i="4"/>
  <c r="H190" i="4"/>
  <c r="I190" i="4" s="1"/>
  <c r="F190" i="4"/>
  <c r="G190" i="4" s="1"/>
  <c r="E190" i="4"/>
  <c r="J189" i="4"/>
  <c r="H189" i="4"/>
  <c r="I189" i="4" s="1"/>
  <c r="F189" i="4"/>
  <c r="G189" i="4" s="1"/>
  <c r="E189" i="4"/>
  <c r="J188" i="4"/>
  <c r="H188" i="4"/>
  <c r="I188" i="4" s="1"/>
  <c r="F188" i="4"/>
  <c r="G188" i="4" s="1"/>
  <c r="E188" i="4"/>
  <c r="J187" i="4"/>
  <c r="H187" i="4"/>
  <c r="I187" i="4" s="1"/>
  <c r="F187" i="4"/>
  <c r="G187" i="4" s="1"/>
  <c r="E187" i="4"/>
  <c r="J186" i="4"/>
  <c r="H186" i="4"/>
  <c r="I186" i="4" s="1"/>
  <c r="E186" i="4"/>
  <c r="F186" i="4" s="1"/>
  <c r="G186" i="4" s="1"/>
  <c r="J185" i="4"/>
  <c r="H185" i="4"/>
  <c r="I185" i="4" s="1"/>
  <c r="F185" i="4"/>
  <c r="G185" i="4" s="1"/>
  <c r="E185" i="4"/>
  <c r="J184" i="4"/>
  <c r="H184" i="4"/>
  <c r="I184" i="4" s="1"/>
  <c r="F184" i="4"/>
  <c r="G184" i="4" s="1"/>
  <c r="E184" i="4"/>
  <c r="J183" i="4"/>
  <c r="H183" i="4"/>
  <c r="I183" i="4" s="1"/>
  <c r="F183" i="4"/>
  <c r="G183" i="4" s="1"/>
  <c r="E183" i="4"/>
  <c r="J182" i="4"/>
  <c r="H182" i="4"/>
  <c r="I182" i="4" s="1"/>
  <c r="F182" i="4"/>
  <c r="G182" i="4" s="1"/>
  <c r="E182" i="4"/>
  <c r="J181" i="4"/>
  <c r="H181" i="4"/>
  <c r="I181" i="4" s="1"/>
  <c r="F181" i="4"/>
  <c r="G181" i="4" s="1"/>
  <c r="E181" i="4"/>
  <c r="J180" i="4"/>
  <c r="H180" i="4"/>
  <c r="I180" i="4" s="1"/>
  <c r="F180" i="4"/>
  <c r="G180" i="4" s="1"/>
  <c r="E180" i="4"/>
  <c r="J179" i="4"/>
  <c r="H179" i="4"/>
  <c r="I179" i="4" s="1"/>
  <c r="F179" i="4"/>
  <c r="G179" i="4" s="1"/>
  <c r="E179" i="4"/>
  <c r="J178" i="4"/>
  <c r="H178" i="4"/>
  <c r="I178" i="4" s="1"/>
  <c r="E178" i="4"/>
  <c r="F178" i="4" s="1"/>
  <c r="G178" i="4" s="1"/>
  <c r="J177" i="4"/>
  <c r="H177" i="4"/>
  <c r="I177" i="4" s="1"/>
  <c r="F177" i="4"/>
  <c r="G177" i="4" s="1"/>
  <c r="E177" i="4"/>
  <c r="J176" i="4"/>
  <c r="H176" i="4"/>
  <c r="I176" i="4" s="1"/>
  <c r="F176" i="4"/>
  <c r="G176" i="4" s="1"/>
  <c r="E176" i="4"/>
  <c r="J175" i="4"/>
  <c r="H175" i="4"/>
  <c r="I175" i="4" s="1"/>
  <c r="F175" i="4"/>
  <c r="G175" i="4" s="1"/>
  <c r="E175" i="4"/>
  <c r="J174" i="4"/>
  <c r="H174" i="4"/>
  <c r="I174" i="4" s="1"/>
  <c r="F174" i="4"/>
  <c r="G174" i="4" s="1"/>
  <c r="E174" i="4"/>
  <c r="J173" i="4"/>
  <c r="H173" i="4"/>
  <c r="I173" i="4" s="1"/>
  <c r="F173" i="4"/>
  <c r="G173" i="4" s="1"/>
  <c r="E173" i="4"/>
  <c r="J172" i="4"/>
  <c r="H172" i="4"/>
  <c r="I172" i="4" s="1"/>
  <c r="F172" i="4"/>
  <c r="G172" i="4" s="1"/>
  <c r="E172" i="4"/>
  <c r="J171" i="4"/>
  <c r="H171" i="4"/>
  <c r="I171" i="4" s="1"/>
  <c r="F171" i="4"/>
  <c r="G171" i="4" s="1"/>
  <c r="E171" i="4"/>
  <c r="J170" i="4"/>
  <c r="H170" i="4"/>
  <c r="I170" i="4" s="1"/>
  <c r="E170" i="4"/>
  <c r="F170" i="4" s="1"/>
  <c r="G170" i="4" s="1"/>
  <c r="J169" i="4"/>
  <c r="H169" i="4"/>
  <c r="I169" i="4" s="1"/>
  <c r="F169" i="4"/>
  <c r="G169" i="4" s="1"/>
  <c r="E169" i="4"/>
  <c r="J168" i="4"/>
  <c r="H168" i="4"/>
  <c r="I168" i="4" s="1"/>
  <c r="F168" i="4"/>
  <c r="G168" i="4" s="1"/>
  <c r="E168" i="4"/>
  <c r="J167" i="4"/>
  <c r="H167" i="4"/>
  <c r="I167" i="4" s="1"/>
  <c r="F167" i="4"/>
  <c r="G167" i="4" s="1"/>
  <c r="E167" i="4"/>
  <c r="J166" i="4"/>
  <c r="H166" i="4"/>
  <c r="I166" i="4" s="1"/>
  <c r="F166" i="4"/>
  <c r="G166" i="4" s="1"/>
  <c r="E166" i="4"/>
  <c r="J165" i="4"/>
  <c r="H165" i="4"/>
  <c r="I165" i="4" s="1"/>
  <c r="F165" i="4"/>
  <c r="G165" i="4" s="1"/>
  <c r="E165" i="4"/>
  <c r="J164" i="4"/>
  <c r="H164" i="4"/>
  <c r="I164" i="4" s="1"/>
  <c r="F164" i="4"/>
  <c r="G164" i="4" s="1"/>
  <c r="E164" i="4"/>
  <c r="J163" i="4"/>
  <c r="H163" i="4"/>
  <c r="I163" i="4" s="1"/>
  <c r="F163" i="4"/>
  <c r="G163" i="4" s="1"/>
  <c r="E163" i="4"/>
  <c r="J162" i="4"/>
  <c r="H162" i="4"/>
  <c r="I162" i="4" s="1"/>
  <c r="E162" i="4"/>
  <c r="F162" i="4" s="1"/>
  <c r="G162" i="4" s="1"/>
  <c r="J161" i="4"/>
  <c r="H161" i="4"/>
  <c r="I161" i="4" s="1"/>
  <c r="F161" i="4"/>
  <c r="G161" i="4" s="1"/>
  <c r="E161" i="4"/>
  <c r="J160" i="4"/>
  <c r="H160" i="4"/>
  <c r="I160" i="4" s="1"/>
  <c r="F160" i="4"/>
  <c r="G160" i="4" s="1"/>
  <c r="E160" i="4"/>
  <c r="J159" i="4"/>
  <c r="H159" i="4"/>
  <c r="I159" i="4" s="1"/>
  <c r="F159" i="4"/>
  <c r="G159" i="4" s="1"/>
  <c r="E159" i="4"/>
  <c r="J158" i="4"/>
  <c r="H158" i="4"/>
  <c r="I158" i="4" s="1"/>
  <c r="F158" i="4"/>
  <c r="G158" i="4" s="1"/>
  <c r="E158" i="4"/>
  <c r="J157" i="4"/>
  <c r="H157" i="4"/>
  <c r="I157" i="4" s="1"/>
  <c r="F157" i="4"/>
  <c r="G157" i="4" s="1"/>
  <c r="E157" i="4"/>
  <c r="J156" i="4"/>
  <c r="H156" i="4"/>
  <c r="I156" i="4" s="1"/>
  <c r="F156" i="4"/>
  <c r="G156" i="4" s="1"/>
  <c r="E156" i="4"/>
  <c r="J155" i="4"/>
  <c r="H155" i="4"/>
  <c r="I155" i="4" s="1"/>
  <c r="F155" i="4"/>
  <c r="G155" i="4" s="1"/>
  <c r="E155" i="4"/>
  <c r="J154" i="4"/>
  <c r="H154" i="4"/>
  <c r="I154" i="4" s="1"/>
  <c r="E154" i="4"/>
  <c r="F154" i="4" s="1"/>
  <c r="G154" i="4" s="1"/>
  <c r="J153" i="4"/>
  <c r="H153" i="4"/>
  <c r="I153" i="4" s="1"/>
  <c r="F153" i="4"/>
  <c r="G153" i="4" s="1"/>
  <c r="E153" i="4"/>
  <c r="J152" i="4"/>
  <c r="H152" i="4"/>
  <c r="I152" i="4" s="1"/>
  <c r="F152" i="4"/>
  <c r="G152" i="4" s="1"/>
  <c r="E152" i="4"/>
  <c r="J151" i="4"/>
  <c r="H151" i="4"/>
  <c r="I151" i="4" s="1"/>
  <c r="F151" i="4"/>
  <c r="G151" i="4" s="1"/>
  <c r="E151" i="4"/>
  <c r="J150" i="4"/>
  <c r="H150" i="4"/>
  <c r="I150" i="4" s="1"/>
  <c r="F150" i="4"/>
  <c r="G150" i="4" s="1"/>
  <c r="E150" i="4"/>
  <c r="J149" i="4"/>
  <c r="H149" i="4"/>
  <c r="I149" i="4" s="1"/>
  <c r="F149" i="4"/>
  <c r="G149" i="4" s="1"/>
  <c r="E149" i="4"/>
  <c r="J148" i="4"/>
  <c r="H148" i="4"/>
  <c r="I148" i="4" s="1"/>
  <c r="F148" i="4"/>
  <c r="G148" i="4" s="1"/>
  <c r="E148" i="4"/>
  <c r="J147" i="4"/>
  <c r="H147" i="4"/>
  <c r="I147" i="4" s="1"/>
  <c r="F147" i="4"/>
  <c r="G147" i="4" s="1"/>
  <c r="E147" i="4"/>
  <c r="J146" i="4"/>
  <c r="H146" i="4"/>
  <c r="I146" i="4" s="1"/>
  <c r="E146" i="4"/>
  <c r="F146" i="4" s="1"/>
  <c r="G146" i="4" s="1"/>
  <c r="J145" i="4"/>
  <c r="H145" i="4"/>
  <c r="I145" i="4" s="1"/>
  <c r="F145" i="4"/>
  <c r="G145" i="4" s="1"/>
  <c r="E145" i="4"/>
  <c r="J144" i="4"/>
  <c r="H144" i="4"/>
  <c r="I144" i="4" s="1"/>
  <c r="F144" i="4"/>
  <c r="G144" i="4" s="1"/>
  <c r="E144" i="4"/>
  <c r="J143" i="4"/>
  <c r="H143" i="4"/>
  <c r="I143" i="4" s="1"/>
  <c r="F143" i="4"/>
  <c r="G143" i="4" s="1"/>
  <c r="E143" i="4"/>
  <c r="J142" i="4"/>
  <c r="H142" i="4"/>
  <c r="I142" i="4" s="1"/>
  <c r="F142" i="4"/>
  <c r="G142" i="4" s="1"/>
  <c r="E142" i="4"/>
  <c r="J141" i="4"/>
  <c r="H141" i="4"/>
  <c r="I141" i="4" s="1"/>
  <c r="F141" i="4"/>
  <c r="G141" i="4" s="1"/>
  <c r="E141" i="4"/>
  <c r="J140" i="4"/>
  <c r="H140" i="4"/>
  <c r="I140" i="4" s="1"/>
  <c r="F140" i="4"/>
  <c r="G140" i="4" s="1"/>
  <c r="E140" i="4"/>
  <c r="J139" i="4"/>
  <c r="H139" i="4"/>
  <c r="I139" i="4" s="1"/>
  <c r="F139" i="4"/>
  <c r="G139" i="4" s="1"/>
  <c r="E139" i="4"/>
  <c r="J138" i="4"/>
  <c r="H138" i="4"/>
  <c r="I138" i="4" s="1"/>
  <c r="E138" i="4"/>
  <c r="F138" i="4" s="1"/>
  <c r="G138" i="4" s="1"/>
  <c r="J137" i="4"/>
  <c r="H137" i="4"/>
  <c r="I137" i="4" s="1"/>
  <c r="F137" i="4"/>
  <c r="G137" i="4" s="1"/>
  <c r="E137" i="4"/>
  <c r="J136" i="4"/>
  <c r="H136" i="4"/>
  <c r="I136" i="4" s="1"/>
  <c r="F136" i="4"/>
  <c r="G136" i="4" s="1"/>
  <c r="E136" i="4"/>
  <c r="J135" i="4"/>
  <c r="H135" i="4"/>
  <c r="I135" i="4" s="1"/>
  <c r="F135" i="4"/>
  <c r="G135" i="4" s="1"/>
  <c r="E135" i="4"/>
  <c r="J134" i="4"/>
  <c r="H134" i="4"/>
  <c r="I134" i="4" s="1"/>
  <c r="F134" i="4"/>
  <c r="G134" i="4" s="1"/>
  <c r="E134" i="4"/>
  <c r="J133" i="4"/>
  <c r="H133" i="4"/>
  <c r="I133" i="4" s="1"/>
  <c r="F133" i="4"/>
  <c r="G133" i="4" s="1"/>
  <c r="E133" i="4"/>
  <c r="J132" i="4"/>
  <c r="H132" i="4"/>
  <c r="I132" i="4" s="1"/>
  <c r="F132" i="4"/>
  <c r="G132" i="4" s="1"/>
  <c r="E132" i="4"/>
  <c r="J131" i="4"/>
  <c r="H131" i="4"/>
  <c r="I131" i="4" s="1"/>
  <c r="F131" i="4"/>
  <c r="G131" i="4" s="1"/>
  <c r="E131" i="4"/>
  <c r="J130" i="4"/>
  <c r="H130" i="4"/>
  <c r="I130" i="4" s="1"/>
  <c r="E130" i="4"/>
  <c r="F130" i="4" s="1"/>
  <c r="G130" i="4" s="1"/>
  <c r="J129" i="4"/>
  <c r="H129" i="4"/>
  <c r="I129" i="4" s="1"/>
  <c r="F129" i="4"/>
  <c r="G129" i="4" s="1"/>
  <c r="E129" i="4"/>
  <c r="J128" i="4"/>
  <c r="H128" i="4"/>
  <c r="I128" i="4" s="1"/>
  <c r="F128" i="4"/>
  <c r="G128" i="4" s="1"/>
  <c r="E128" i="4"/>
  <c r="J127" i="4"/>
  <c r="H127" i="4"/>
  <c r="I127" i="4" s="1"/>
  <c r="F127" i="4"/>
  <c r="G127" i="4" s="1"/>
  <c r="E127" i="4"/>
  <c r="J126" i="4"/>
  <c r="H126" i="4"/>
  <c r="I126" i="4" s="1"/>
  <c r="F126" i="4"/>
  <c r="G126" i="4" s="1"/>
  <c r="E126" i="4"/>
  <c r="J125" i="4"/>
  <c r="H125" i="4"/>
  <c r="I125" i="4" s="1"/>
  <c r="F125" i="4"/>
  <c r="G125" i="4" s="1"/>
  <c r="E125" i="4"/>
  <c r="J124" i="4"/>
  <c r="H124" i="4"/>
  <c r="I124" i="4" s="1"/>
  <c r="F124" i="4"/>
  <c r="G124" i="4" s="1"/>
  <c r="E124" i="4"/>
  <c r="J123" i="4"/>
  <c r="H123" i="4"/>
  <c r="I123" i="4" s="1"/>
  <c r="F123" i="4"/>
  <c r="G123" i="4" s="1"/>
  <c r="E123" i="4"/>
  <c r="J122" i="4"/>
  <c r="H122" i="4"/>
  <c r="I122" i="4" s="1"/>
  <c r="E122" i="4"/>
  <c r="F122" i="4" s="1"/>
  <c r="G122" i="4" s="1"/>
  <c r="J121" i="4"/>
  <c r="H121" i="4"/>
  <c r="I121" i="4" s="1"/>
  <c r="F121" i="4"/>
  <c r="G121" i="4" s="1"/>
  <c r="E121" i="4"/>
  <c r="J120" i="4"/>
  <c r="H120" i="4"/>
  <c r="I120" i="4" s="1"/>
  <c r="F120" i="4"/>
  <c r="G120" i="4" s="1"/>
  <c r="E120" i="4"/>
  <c r="J119" i="4"/>
  <c r="H119" i="4"/>
  <c r="I119" i="4" s="1"/>
  <c r="F119" i="4"/>
  <c r="G119" i="4" s="1"/>
  <c r="E119" i="4"/>
  <c r="J118" i="4"/>
  <c r="H118" i="4"/>
  <c r="I118" i="4" s="1"/>
  <c r="F118" i="4"/>
  <c r="G118" i="4" s="1"/>
  <c r="E118" i="4"/>
  <c r="J117" i="4"/>
  <c r="H117" i="4"/>
  <c r="I117" i="4" s="1"/>
  <c r="F117" i="4"/>
  <c r="G117" i="4" s="1"/>
  <c r="E117" i="4"/>
  <c r="J116" i="4"/>
  <c r="H116" i="4"/>
  <c r="I116" i="4" s="1"/>
  <c r="F116" i="4"/>
  <c r="G116" i="4" s="1"/>
  <c r="E116" i="4"/>
  <c r="J115" i="4"/>
  <c r="H115" i="4"/>
  <c r="I115" i="4" s="1"/>
  <c r="F115" i="4"/>
  <c r="G115" i="4" s="1"/>
  <c r="E115" i="4"/>
  <c r="J114" i="4"/>
  <c r="H114" i="4"/>
  <c r="I114" i="4" s="1"/>
  <c r="E114" i="4"/>
  <c r="F114" i="4" s="1"/>
  <c r="G114" i="4" s="1"/>
  <c r="J113" i="4"/>
  <c r="H113" i="4"/>
  <c r="I113" i="4" s="1"/>
  <c r="F113" i="4"/>
  <c r="G113" i="4" s="1"/>
  <c r="E113" i="4"/>
  <c r="J112" i="4"/>
  <c r="H112" i="4"/>
  <c r="I112" i="4" s="1"/>
  <c r="F112" i="4"/>
  <c r="G112" i="4" s="1"/>
  <c r="E112" i="4"/>
  <c r="J111" i="4"/>
  <c r="H111" i="4"/>
  <c r="I111" i="4" s="1"/>
  <c r="F111" i="4"/>
  <c r="G111" i="4" s="1"/>
  <c r="E111" i="4"/>
  <c r="J110" i="4"/>
  <c r="H110" i="4"/>
  <c r="I110" i="4" s="1"/>
  <c r="F110" i="4"/>
  <c r="G110" i="4" s="1"/>
  <c r="E110" i="4"/>
  <c r="J109" i="4"/>
  <c r="H109" i="4"/>
  <c r="I109" i="4" s="1"/>
  <c r="F109" i="4"/>
  <c r="G109" i="4" s="1"/>
  <c r="E109" i="4"/>
  <c r="J108" i="4"/>
  <c r="H108" i="4"/>
  <c r="I108" i="4" s="1"/>
  <c r="F108" i="4"/>
  <c r="G108" i="4" s="1"/>
  <c r="E108" i="4"/>
  <c r="J107" i="4"/>
  <c r="H107" i="4"/>
  <c r="I107" i="4" s="1"/>
  <c r="F107" i="4"/>
  <c r="G107" i="4" s="1"/>
  <c r="E107" i="4"/>
  <c r="J106" i="4"/>
  <c r="H106" i="4"/>
  <c r="I106" i="4" s="1"/>
  <c r="E106" i="4"/>
  <c r="F106" i="4" s="1"/>
  <c r="G106" i="4" s="1"/>
  <c r="J105" i="4"/>
  <c r="H105" i="4"/>
  <c r="I105" i="4" s="1"/>
  <c r="F105" i="4"/>
  <c r="G105" i="4" s="1"/>
  <c r="E105" i="4"/>
  <c r="J104" i="4"/>
  <c r="H104" i="4"/>
  <c r="I104" i="4" s="1"/>
  <c r="F104" i="4"/>
  <c r="G104" i="4" s="1"/>
  <c r="E104" i="4"/>
  <c r="J103" i="4"/>
  <c r="H103" i="4"/>
  <c r="I103" i="4" s="1"/>
  <c r="F103" i="4"/>
  <c r="G103" i="4" s="1"/>
  <c r="E103" i="4"/>
  <c r="J102" i="4"/>
  <c r="H102" i="4"/>
  <c r="I102" i="4" s="1"/>
  <c r="F102" i="4"/>
  <c r="G102" i="4" s="1"/>
  <c r="E102" i="4"/>
  <c r="J101" i="4"/>
  <c r="H101" i="4"/>
  <c r="I101" i="4" s="1"/>
  <c r="F101" i="4"/>
  <c r="G101" i="4" s="1"/>
  <c r="E101" i="4"/>
  <c r="J100" i="4"/>
  <c r="H100" i="4"/>
  <c r="I100" i="4" s="1"/>
  <c r="F100" i="4"/>
  <c r="G100" i="4" s="1"/>
  <c r="E100" i="4"/>
  <c r="J99" i="4"/>
  <c r="H99" i="4"/>
  <c r="I99" i="4" s="1"/>
  <c r="F99" i="4"/>
  <c r="G99" i="4" s="1"/>
  <c r="E99" i="4"/>
  <c r="J98" i="4"/>
  <c r="H98" i="4"/>
  <c r="I98" i="4" s="1"/>
  <c r="E98" i="4"/>
  <c r="F98" i="4" s="1"/>
  <c r="G98" i="4" s="1"/>
  <c r="J97" i="4"/>
  <c r="H97" i="4"/>
  <c r="I97" i="4" s="1"/>
  <c r="F97" i="4"/>
  <c r="G97" i="4" s="1"/>
  <c r="E97" i="4"/>
  <c r="J96" i="4"/>
  <c r="H96" i="4"/>
  <c r="I96" i="4" s="1"/>
  <c r="F96" i="4"/>
  <c r="G96" i="4" s="1"/>
  <c r="E96" i="4"/>
  <c r="J95" i="4"/>
  <c r="H95" i="4"/>
  <c r="I95" i="4" s="1"/>
  <c r="F95" i="4"/>
  <c r="G95" i="4" s="1"/>
  <c r="E95" i="4"/>
  <c r="J94" i="4"/>
  <c r="H94" i="4"/>
  <c r="I94" i="4" s="1"/>
  <c r="F94" i="4"/>
  <c r="G94" i="4" s="1"/>
  <c r="E94" i="4"/>
  <c r="J93" i="4"/>
  <c r="H93" i="4"/>
  <c r="I93" i="4" s="1"/>
  <c r="F93" i="4"/>
  <c r="G93" i="4" s="1"/>
  <c r="E93" i="4"/>
  <c r="J92" i="4"/>
  <c r="H92" i="4"/>
  <c r="I92" i="4" s="1"/>
  <c r="F92" i="4"/>
  <c r="G92" i="4" s="1"/>
  <c r="E92" i="4"/>
  <c r="J91" i="4"/>
  <c r="H91" i="4"/>
  <c r="I91" i="4" s="1"/>
  <c r="F91" i="4"/>
  <c r="G91" i="4" s="1"/>
  <c r="E91" i="4"/>
  <c r="J90" i="4"/>
  <c r="H90" i="4"/>
  <c r="I90" i="4" s="1"/>
  <c r="E90" i="4"/>
  <c r="F90" i="4" s="1"/>
  <c r="G90" i="4" s="1"/>
  <c r="J89" i="4"/>
  <c r="H89" i="4"/>
  <c r="I89" i="4" s="1"/>
  <c r="F89" i="4"/>
  <c r="G89" i="4" s="1"/>
  <c r="E89" i="4"/>
  <c r="J88" i="4"/>
  <c r="H88" i="4"/>
  <c r="I88" i="4" s="1"/>
  <c r="F88" i="4"/>
  <c r="G88" i="4" s="1"/>
  <c r="E88" i="4"/>
  <c r="J87" i="4"/>
  <c r="H87" i="4"/>
  <c r="I87" i="4" s="1"/>
  <c r="F87" i="4"/>
  <c r="G87" i="4" s="1"/>
  <c r="E87" i="4"/>
  <c r="J86" i="4"/>
  <c r="H86" i="4"/>
  <c r="I86" i="4" s="1"/>
  <c r="F86" i="4"/>
  <c r="G86" i="4" s="1"/>
  <c r="E86" i="4"/>
  <c r="J85" i="4"/>
  <c r="H85" i="4"/>
  <c r="I85" i="4" s="1"/>
  <c r="F85" i="4"/>
  <c r="G85" i="4" s="1"/>
  <c r="E85" i="4"/>
  <c r="J84" i="4"/>
  <c r="H84" i="4"/>
  <c r="I84" i="4" s="1"/>
  <c r="F84" i="4"/>
  <c r="G84" i="4" s="1"/>
  <c r="E84" i="4"/>
  <c r="J83" i="4"/>
  <c r="H83" i="4"/>
  <c r="I83" i="4" s="1"/>
  <c r="F83" i="4"/>
  <c r="G83" i="4" s="1"/>
  <c r="E83" i="4"/>
  <c r="J82" i="4"/>
  <c r="H82" i="4"/>
  <c r="I82" i="4" s="1"/>
  <c r="E82" i="4"/>
  <c r="F82" i="4" s="1"/>
  <c r="G82" i="4" s="1"/>
  <c r="J81" i="4"/>
  <c r="H81" i="4"/>
  <c r="I81" i="4" s="1"/>
  <c r="F81" i="4"/>
  <c r="G81" i="4" s="1"/>
  <c r="E81" i="4"/>
  <c r="J80" i="4"/>
  <c r="H80" i="4"/>
  <c r="I80" i="4" s="1"/>
  <c r="F80" i="4"/>
  <c r="G80" i="4" s="1"/>
  <c r="E80" i="4"/>
  <c r="J79" i="4"/>
  <c r="H79" i="4"/>
  <c r="I79" i="4" s="1"/>
  <c r="F79" i="4"/>
  <c r="G79" i="4" s="1"/>
  <c r="E79" i="4"/>
  <c r="J78" i="4"/>
  <c r="H78" i="4"/>
  <c r="I78" i="4" s="1"/>
  <c r="F78" i="4"/>
  <c r="G78" i="4" s="1"/>
  <c r="E78" i="4"/>
  <c r="J77" i="4"/>
  <c r="H77" i="4"/>
  <c r="I77" i="4" s="1"/>
  <c r="F77" i="4"/>
  <c r="G77" i="4" s="1"/>
  <c r="E77" i="4"/>
  <c r="J76" i="4"/>
  <c r="H76" i="4"/>
  <c r="I76" i="4" s="1"/>
  <c r="F76" i="4"/>
  <c r="G76" i="4" s="1"/>
  <c r="E76" i="4"/>
  <c r="J75" i="4"/>
  <c r="H75" i="4"/>
  <c r="I75" i="4" s="1"/>
  <c r="F75" i="4"/>
  <c r="G75" i="4" s="1"/>
  <c r="E75" i="4"/>
  <c r="J74" i="4"/>
  <c r="H74" i="4"/>
  <c r="I74" i="4" s="1"/>
  <c r="E74" i="4"/>
  <c r="F74" i="4" s="1"/>
  <c r="G74" i="4" s="1"/>
  <c r="J73" i="4"/>
  <c r="H73" i="4"/>
  <c r="I73" i="4" s="1"/>
  <c r="F73" i="4"/>
  <c r="G73" i="4" s="1"/>
  <c r="E73" i="4"/>
  <c r="J72" i="4"/>
  <c r="H72" i="4"/>
  <c r="I72" i="4" s="1"/>
  <c r="F72" i="4"/>
  <c r="G72" i="4" s="1"/>
  <c r="E72" i="4"/>
  <c r="J71" i="4"/>
  <c r="H71" i="4"/>
  <c r="I71" i="4" s="1"/>
  <c r="F71" i="4"/>
  <c r="G71" i="4" s="1"/>
  <c r="E71" i="4"/>
  <c r="J70" i="4"/>
  <c r="H70" i="4"/>
  <c r="I70" i="4" s="1"/>
  <c r="F70" i="4"/>
  <c r="G70" i="4" s="1"/>
  <c r="E70" i="4"/>
  <c r="J69" i="4"/>
  <c r="H69" i="4"/>
  <c r="I69" i="4" s="1"/>
  <c r="F69" i="4"/>
  <c r="G69" i="4" s="1"/>
  <c r="E69" i="4"/>
  <c r="J68" i="4"/>
  <c r="H68" i="4"/>
  <c r="I68" i="4" s="1"/>
  <c r="F68" i="4"/>
  <c r="G68" i="4" s="1"/>
  <c r="E68" i="4"/>
  <c r="J67" i="4"/>
  <c r="H67" i="4"/>
  <c r="I67" i="4" s="1"/>
  <c r="F67" i="4"/>
  <c r="G67" i="4" s="1"/>
  <c r="E67" i="4"/>
  <c r="J66" i="4"/>
  <c r="H66" i="4"/>
  <c r="I66" i="4" s="1"/>
  <c r="E66" i="4"/>
  <c r="F66" i="4" s="1"/>
  <c r="G66" i="4" s="1"/>
  <c r="J65" i="4"/>
  <c r="H65" i="4"/>
  <c r="I65" i="4" s="1"/>
  <c r="F65" i="4"/>
  <c r="G65" i="4" s="1"/>
  <c r="E65" i="4"/>
  <c r="J64" i="4"/>
  <c r="H64" i="4"/>
  <c r="I64" i="4" s="1"/>
  <c r="F64" i="4"/>
  <c r="G64" i="4" s="1"/>
  <c r="E64" i="4"/>
  <c r="J63" i="4"/>
  <c r="H63" i="4"/>
  <c r="I63" i="4" s="1"/>
  <c r="F63" i="4"/>
  <c r="G63" i="4" s="1"/>
  <c r="E63" i="4"/>
  <c r="J62" i="4"/>
  <c r="H62" i="4"/>
  <c r="I62" i="4" s="1"/>
  <c r="F62" i="4"/>
  <c r="G62" i="4" s="1"/>
  <c r="E62" i="4"/>
  <c r="J61" i="4"/>
  <c r="H61" i="4"/>
  <c r="I61" i="4" s="1"/>
  <c r="F61" i="4"/>
  <c r="G61" i="4" s="1"/>
  <c r="E61" i="4"/>
  <c r="J60" i="4"/>
  <c r="H60" i="4"/>
  <c r="I60" i="4" s="1"/>
  <c r="F60" i="4"/>
  <c r="G60" i="4" s="1"/>
  <c r="E60" i="4"/>
  <c r="J59" i="4"/>
  <c r="H59" i="4"/>
  <c r="I59" i="4" s="1"/>
  <c r="F59" i="4"/>
  <c r="G59" i="4" s="1"/>
  <c r="E59" i="4"/>
  <c r="J58" i="4"/>
  <c r="H58" i="4"/>
  <c r="I58" i="4" s="1"/>
  <c r="E58" i="4"/>
  <c r="F58" i="4" s="1"/>
  <c r="G58" i="4" s="1"/>
  <c r="J57" i="4"/>
  <c r="H57" i="4"/>
  <c r="I57" i="4" s="1"/>
  <c r="F57" i="4"/>
  <c r="G57" i="4" s="1"/>
  <c r="E57" i="4"/>
  <c r="J56" i="4"/>
  <c r="H56" i="4"/>
  <c r="I56" i="4" s="1"/>
  <c r="F56" i="4"/>
  <c r="G56" i="4" s="1"/>
  <c r="E56" i="4"/>
  <c r="J55" i="4"/>
  <c r="H55" i="4"/>
  <c r="I55" i="4" s="1"/>
  <c r="F55" i="4"/>
  <c r="G55" i="4" s="1"/>
  <c r="E55" i="4"/>
  <c r="J54" i="4"/>
  <c r="H54" i="4"/>
  <c r="I54" i="4" s="1"/>
  <c r="F54" i="4"/>
  <c r="G54" i="4" s="1"/>
  <c r="E54" i="4"/>
  <c r="J53" i="4"/>
  <c r="H53" i="4"/>
  <c r="I53" i="4" s="1"/>
  <c r="F53" i="4"/>
  <c r="G53" i="4" s="1"/>
  <c r="E53" i="4"/>
  <c r="J52" i="4"/>
  <c r="H52" i="4"/>
  <c r="I52" i="4" s="1"/>
  <c r="F52" i="4"/>
  <c r="G52" i="4" s="1"/>
  <c r="E52" i="4"/>
  <c r="J51" i="4"/>
  <c r="H51" i="4"/>
  <c r="I51" i="4" s="1"/>
  <c r="F51" i="4"/>
  <c r="G51" i="4" s="1"/>
  <c r="E51" i="4"/>
  <c r="J50" i="4"/>
  <c r="H50" i="4"/>
  <c r="I50" i="4" s="1"/>
  <c r="E50" i="4"/>
  <c r="F50" i="4" s="1"/>
  <c r="G50" i="4" s="1"/>
  <c r="J49" i="4"/>
  <c r="H49" i="4"/>
  <c r="I49" i="4" s="1"/>
  <c r="F49" i="4"/>
  <c r="G49" i="4" s="1"/>
  <c r="E49" i="4"/>
  <c r="J48" i="4"/>
  <c r="H48" i="4"/>
  <c r="I48" i="4" s="1"/>
  <c r="F48" i="4"/>
  <c r="G48" i="4" s="1"/>
  <c r="E48" i="4"/>
  <c r="J47" i="4"/>
  <c r="H47" i="4"/>
  <c r="I47" i="4" s="1"/>
  <c r="F47" i="4"/>
  <c r="G47" i="4" s="1"/>
  <c r="E47" i="4"/>
  <c r="J46" i="4"/>
  <c r="H46" i="4"/>
  <c r="I46" i="4" s="1"/>
  <c r="F46" i="4"/>
  <c r="G46" i="4" s="1"/>
  <c r="E46" i="4"/>
  <c r="J45" i="4"/>
  <c r="H45" i="4"/>
  <c r="I45" i="4" s="1"/>
  <c r="F45" i="4"/>
  <c r="G45" i="4" s="1"/>
  <c r="E45" i="4"/>
  <c r="J44" i="4"/>
  <c r="H44" i="4"/>
  <c r="I44" i="4" s="1"/>
  <c r="F44" i="4"/>
  <c r="G44" i="4" s="1"/>
  <c r="E44" i="4"/>
  <c r="J43" i="4"/>
  <c r="H43" i="4"/>
  <c r="I43" i="4" s="1"/>
  <c r="F43" i="4"/>
  <c r="G43" i="4" s="1"/>
  <c r="E43" i="4"/>
  <c r="J42" i="4"/>
  <c r="H42" i="4"/>
  <c r="I42" i="4" s="1"/>
  <c r="E42" i="4"/>
  <c r="F42" i="4" s="1"/>
  <c r="G42" i="4" s="1"/>
  <c r="J41" i="4"/>
  <c r="H41" i="4"/>
  <c r="I41" i="4" s="1"/>
  <c r="F41" i="4"/>
  <c r="G41" i="4" s="1"/>
  <c r="E41" i="4"/>
  <c r="J40" i="4"/>
  <c r="H40" i="4"/>
  <c r="I40" i="4" s="1"/>
  <c r="F40" i="4"/>
  <c r="G40" i="4" s="1"/>
  <c r="E40" i="4"/>
  <c r="J39" i="4"/>
  <c r="H39" i="4"/>
  <c r="I39" i="4" s="1"/>
  <c r="F39" i="4"/>
  <c r="G39" i="4" s="1"/>
  <c r="E39" i="4"/>
  <c r="J38" i="4"/>
  <c r="H38" i="4"/>
  <c r="I38" i="4" s="1"/>
  <c r="F38" i="4"/>
  <c r="G38" i="4" s="1"/>
  <c r="E38" i="4"/>
  <c r="J37" i="4"/>
  <c r="H37" i="4"/>
  <c r="I37" i="4" s="1"/>
  <c r="F37" i="4"/>
  <c r="G37" i="4" s="1"/>
  <c r="E37" i="4"/>
  <c r="J36" i="4"/>
  <c r="H36" i="4"/>
  <c r="I36" i="4" s="1"/>
  <c r="F36" i="4"/>
  <c r="G36" i="4" s="1"/>
  <c r="E36" i="4"/>
  <c r="J35" i="4"/>
  <c r="H35" i="4"/>
  <c r="I35" i="4" s="1"/>
  <c r="F35" i="4"/>
  <c r="G35" i="4" s="1"/>
  <c r="E35" i="4"/>
  <c r="J34" i="4"/>
  <c r="H34" i="4"/>
  <c r="I34" i="4" s="1"/>
  <c r="E34" i="4"/>
  <c r="F34" i="4" s="1"/>
  <c r="G34" i="4" s="1"/>
  <c r="J33" i="4"/>
  <c r="H33" i="4"/>
  <c r="I33" i="4" s="1"/>
  <c r="F33" i="4"/>
  <c r="G33" i="4" s="1"/>
  <c r="E33" i="4"/>
  <c r="J32" i="4"/>
  <c r="H32" i="4"/>
  <c r="I32" i="4" s="1"/>
  <c r="F32" i="4"/>
  <c r="G32" i="4" s="1"/>
  <c r="E32" i="4"/>
  <c r="J31" i="4"/>
  <c r="H31" i="4"/>
  <c r="I31" i="4" s="1"/>
  <c r="F31" i="4"/>
  <c r="G31" i="4" s="1"/>
  <c r="E31" i="4"/>
  <c r="J30" i="4"/>
  <c r="H30" i="4"/>
  <c r="I30" i="4" s="1"/>
  <c r="F30" i="4"/>
  <c r="G30" i="4" s="1"/>
  <c r="E30" i="4"/>
  <c r="J29" i="4"/>
  <c r="H29" i="4"/>
  <c r="I29" i="4" s="1"/>
  <c r="F29" i="4"/>
  <c r="G29" i="4" s="1"/>
  <c r="E29" i="4"/>
  <c r="J28" i="4"/>
  <c r="H28" i="4"/>
  <c r="I28" i="4" s="1"/>
  <c r="F28" i="4"/>
  <c r="G28" i="4" s="1"/>
  <c r="E28" i="4"/>
  <c r="J27" i="4"/>
  <c r="H27" i="4"/>
  <c r="I27" i="4" s="1"/>
  <c r="F27" i="4"/>
  <c r="G27" i="4" s="1"/>
  <c r="E27" i="4"/>
  <c r="J26" i="4"/>
  <c r="H26" i="4"/>
  <c r="I26" i="4" s="1"/>
  <c r="E26" i="4"/>
  <c r="F26" i="4" s="1"/>
  <c r="G26" i="4" s="1"/>
  <c r="J25" i="4"/>
  <c r="H25" i="4"/>
  <c r="I25" i="4" s="1"/>
  <c r="F25" i="4"/>
  <c r="G25" i="4" s="1"/>
  <c r="E25" i="4"/>
  <c r="J24" i="4"/>
  <c r="H24" i="4"/>
  <c r="I24" i="4" s="1"/>
  <c r="F24" i="4"/>
  <c r="G24" i="4" s="1"/>
  <c r="E24" i="4"/>
  <c r="J23" i="4"/>
  <c r="H23" i="4"/>
  <c r="I23" i="4" s="1"/>
  <c r="F23" i="4"/>
  <c r="G23" i="4" s="1"/>
  <c r="E23" i="4"/>
  <c r="J22" i="4"/>
  <c r="H22" i="4"/>
  <c r="I22" i="4" s="1"/>
  <c r="F22" i="4"/>
  <c r="G22" i="4" s="1"/>
  <c r="E22" i="4"/>
  <c r="J21" i="4"/>
  <c r="H21" i="4"/>
  <c r="I21" i="4" s="1"/>
  <c r="F21" i="4"/>
  <c r="G21" i="4" s="1"/>
  <c r="E21" i="4"/>
  <c r="J20" i="4"/>
  <c r="H20" i="4"/>
  <c r="I20" i="4" s="1"/>
  <c r="F20" i="4"/>
  <c r="G20" i="4" s="1"/>
  <c r="E20" i="4"/>
  <c r="J19" i="4"/>
  <c r="H19" i="4"/>
  <c r="I19" i="4" s="1"/>
  <c r="F19" i="4"/>
  <c r="G19" i="4" s="1"/>
  <c r="E19" i="4"/>
  <c r="J18" i="4"/>
  <c r="H18" i="4"/>
  <c r="I18" i="4" s="1"/>
  <c r="E18" i="4"/>
  <c r="F18" i="4" s="1"/>
  <c r="G18" i="4" s="1"/>
  <c r="J17" i="4"/>
  <c r="H17" i="4"/>
  <c r="I17" i="4" s="1"/>
  <c r="F17" i="4"/>
  <c r="G17" i="4" s="1"/>
  <c r="E17" i="4"/>
  <c r="J16" i="4"/>
  <c r="H16" i="4"/>
  <c r="I16" i="4" s="1"/>
  <c r="F16" i="4"/>
  <c r="G16" i="4" s="1"/>
  <c r="E16" i="4"/>
  <c r="J15" i="4"/>
  <c r="H15" i="4"/>
  <c r="I15" i="4" s="1"/>
  <c r="F15" i="4"/>
  <c r="G15" i="4" s="1"/>
  <c r="E15" i="4"/>
  <c r="J14" i="4"/>
  <c r="H14" i="4"/>
  <c r="I14" i="4" s="1"/>
  <c r="F14" i="4"/>
  <c r="G14" i="4" s="1"/>
  <c r="E14" i="4"/>
  <c r="J13" i="4"/>
  <c r="H13" i="4"/>
  <c r="I13" i="4" s="1"/>
  <c r="F13" i="4"/>
  <c r="G13" i="4" s="1"/>
  <c r="E13" i="4"/>
  <c r="J12" i="4"/>
  <c r="H12" i="4"/>
  <c r="I12" i="4" s="1"/>
  <c r="F12" i="4"/>
  <c r="G12" i="4" s="1"/>
  <c r="E12" i="4"/>
  <c r="J11" i="4"/>
  <c r="H11" i="4"/>
  <c r="I11" i="4" s="1"/>
  <c r="F11" i="4"/>
  <c r="G11" i="4" s="1"/>
  <c r="E11" i="4"/>
  <c r="J10" i="4"/>
  <c r="H10" i="4"/>
  <c r="I10" i="4" s="1"/>
  <c r="E10" i="4"/>
  <c r="F10" i="4" s="1"/>
  <c r="G10" i="4" s="1"/>
  <c r="J9" i="4"/>
  <c r="H9" i="4"/>
  <c r="I9" i="4" s="1"/>
  <c r="F9" i="4"/>
  <c r="G9" i="4" s="1"/>
  <c r="E9" i="4"/>
  <c r="J8" i="4"/>
  <c r="H8" i="4"/>
  <c r="I8" i="4" s="1"/>
  <c r="F8" i="4"/>
  <c r="G8" i="4" s="1"/>
  <c r="E8" i="4"/>
  <c r="J7" i="4"/>
  <c r="H7" i="4"/>
  <c r="I7" i="4" s="1"/>
  <c r="F7" i="4"/>
  <c r="G7" i="4" s="1"/>
  <c r="E7" i="4"/>
  <c r="J6" i="4"/>
  <c r="H6" i="4"/>
  <c r="I6" i="4" s="1"/>
  <c r="F6" i="4"/>
  <c r="G6" i="4" s="1"/>
  <c r="E6" i="4"/>
  <c r="J5" i="4"/>
  <c r="H5" i="4"/>
  <c r="I5" i="4" s="1"/>
  <c r="F5" i="4"/>
  <c r="G5" i="4" s="1"/>
  <c r="E5" i="4"/>
  <c r="J4" i="4"/>
  <c r="H4" i="4"/>
  <c r="I4" i="4" s="1"/>
  <c r="F4" i="4"/>
  <c r="G4" i="4" s="1"/>
  <c r="E4" i="4"/>
  <c r="J3" i="4"/>
  <c r="H3" i="4"/>
  <c r="I3" i="4" s="1"/>
  <c r="F3" i="4"/>
  <c r="G3" i="4" s="1"/>
  <c r="E3" i="4"/>
  <c r="J2" i="4"/>
  <c r="H2" i="4"/>
  <c r="I2" i="4" s="1"/>
  <c r="F2" i="4"/>
  <c r="G2" i="4" s="1"/>
  <c r="E2" i="4"/>
  <c r="C15" i="3"/>
  <c r="B15" i="3"/>
  <c r="D15" i="3" s="1"/>
  <c r="E15" i="3" s="1"/>
  <c r="F15" i="3" s="1"/>
  <c r="A15" i="3"/>
  <c r="C14" i="3"/>
  <c r="D14" i="3" s="1"/>
  <c r="E14" i="3" s="1"/>
  <c r="F14" i="3" s="1"/>
  <c r="B14" i="3"/>
  <c r="A14" i="3"/>
  <c r="C13" i="3"/>
  <c r="B13" i="3"/>
  <c r="D13" i="3" s="1"/>
  <c r="E13" i="3" s="1"/>
  <c r="F13" i="3" s="1"/>
  <c r="A13" i="3"/>
  <c r="C12" i="3"/>
  <c r="D12" i="3" s="1"/>
  <c r="E12" i="3" s="1"/>
  <c r="F12" i="3" s="1"/>
  <c r="B12" i="3"/>
  <c r="A12" i="3"/>
  <c r="C11" i="3"/>
  <c r="B11" i="3"/>
  <c r="A11" i="3"/>
  <c r="C10" i="3"/>
  <c r="D10" i="3" s="1"/>
  <c r="E10" i="3" s="1"/>
  <c r="F10" i="3" s="1"/>
  <c r="B10" i="3"/>
  <c r="A10" i="3"/>
  <c r="C9" i="3"/>
  <c r="B9" i="3"/>
  <c r="D9" i="3" s="1"/>
  <c r="E9" i="3" s="1"/>
  <c r="F9" i="3" s="1"/>
  <c r="A9" i="3"/>
  <c r="C8" i="3"/>
  <c r="B8" i="3"/>
  <c r="A8" i="3"/>
  <c r="C7" i="3"/>
  <c r="B7" i="3"/>
  <c r="D7" i="3" s="1"/>
  <c r="E7" i="3" s="1"/>
  <c r="F7" i="3" s="1"/>
  <c r="A7" i="3"/>
  <c r="C6" i="3"/>
  <c r="B6" i="3"/>
  <c r="A6" i="3"/>
  <c r="C5" i="3"/>
  <c r="B5" i="3"/>
  <c r="D5" i="3" s="1"/>
  <c r="E5" i="3" s="1"/>
  <c r="F5" i="3" s="1"/>
  <c r="A5" i="3"/>
  <c r="C4" i="3"/>
  <c r="B4" i="3"/>
  <c r="A4" i="3"/>
  <c r="C3" i="3"/>
  <c r="B3" i="3"/>
  <c r="A3" i="3"/>
  <c r="C2" i="3"/>
  <c r="B2" i="3"/>
  <c r="A2" i="3"/>
  <c r="D6" i="3" l="1"/>
  <c r="E6" i="3" s="1"/>
  <c r="F6" i="3" s="1"/>
  <c r="D4" i="3"/>
  <c r="E4" i="3" s="1"/>
  <c r="F4" i="3" s="1"/>
  <c r="D3" i="3"/>
  <c r="E3" i="3" s="1"/>
  <c r="F3" i="3" s="1"/>
  <c r="D8" i="3"/>
  <c r="E8" i="3" s="1"/>
  <c r="F8" i="3" s="1"/>
  <c r="B16" i="3"/>
  <c r="C16" i="3"/>
  <c r="D16" i="3" s="1"/>
  <c r="E16" i="3" s="1"/>
  <c r="F16" i="3" s="1"/>
  <c r="D2" i="3"/>
  <c r="E2" i="3" s="1"/>
  <c r="F2" i="3" s="1"/>
  <c r="D11" i="3"/>
  <c r="E11" i="3" s="1"/>
  <c r="F11" i="3" s="1"/>
  <c r="H6" i="3"/>
  <c r="G6" i="3"/>
  <c r="H12" i="3"/>
  <c r="G12" i="3"/>
  <c r="H5" i="3"/>
  <c r="G5" i="3"/>
  <c r="G15" i="3"/>
  <c r="H15" i="3"/>
  <c r="H11" i="3"/>
  <c r="G11" i="3"/>
  <c r="H10" i="3"/>
  <c r="G10" i="3"/>
  <c r="H3" i="3"/>
  <c r="G3" i="3"/>
  <c r="H9" i="3"/>
  <c r="G9" i="3"/>
  <c r="H2" i="3"/>
  <c r="G2" i="3"/>
  <c r="H8" i="3"/>
  <c r="G8" i="3"/>
  <c r="H4" i="3"/>
  <c r="G4" i="3"/>
  <c r="G13" i="3"/>
  <c r="H13" i="3"/>
  <c r="H7" i="3"/>
  <c r="G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<sst xmlns="http://schemas.openxmlformats.org/spreadsheetml/2006/main" count="71" uniqueCount="53">
  <si>
    <t>WORKFORCE FORECASTING | PORTFOLIO PROJECT</t>
  </si>
  <si>
    <t>Purpose</t>
  </si>
  <si>
    <t>Demonstrate daily and 30-minute inbound contact-center forecasting and workload-based staffing estimates.</t>
  </si>
  <si>
    <t>Data</t>
  </si>
  <si>
    <t>Synthetic operational dataset; not Spectrum or any real employer's data.</t>
  </si>
  <si>
    <t>Step 1</t>
  </si>
  <si>
    <t>Review assumptions: AHT, occupancy, shrinkage, interval length.</t>
  </si>
  <si>
    <t>Step 2</t>
  </si>
  <si>
    <t>Review 30-Min Intervals: forecast vs actual and calculated staffing.</t>
  </si>
  <si>
    <t>Step 3</t>
  </si>
  <si>
    <t>Review Daily Forecast: rolled-up volume and accuracy.</t>
  </si>
  <si>
    <t>Step 4</t>
  </si>
  <si>
    <t>Review Dashboard: KPIs and trend charts.</t>
  </si>
  <si>
    <t>Accuracy method</t>
  </si>
  <si>
    <t>1 - ABS(actual - forecast)/actual; individual accuracy can be negative for very large misses.</t>
  </si>
  <si>
    <t>Staffing method</t>
  </si>
  <si>
    <t>CEILING(calls × AHT / interval seconds / occupancy / (1 - shrinkage), 1).</t>
  </si>
  <si>
    <t>Limitation</t>
  </si>
  <si>
    <t>Not an Erlang C or SLA-based staffing calculation; excludes queueing, schedule fit and intra-interval variability.</t>
  </si>
  <si>
    <t>METRIC</t>
  </si>
  <si>
    <t>VALUE</t>
  </si>
  <si>
    <t>Total Forecast Calls</t>
  </si>
  <si>
    <t>Total Actual Calls</t>
  </si>
  <si>
    <t>Aggregate Forecast Accuracy</t>
  </si>
  <si>
    <t>Average Daily Staff Estimate</t>
  </si>
  <si>
    <t>NOTE: All figures are simulated. Staffing is workload-based, not SLA/Erlang C.</t>
  </si>
  <si>
    <t>Date</t>
  </si>
  <si>
    <t>Forecast Calls</t>
  </si>
  <si>
    <t>Actual Calls</t>
  </si>
  <si>
    <t>Variance</t>
  </si>
  <si>
    <t>Abs Error</t>
  </si>
  <si>
    <t>Accuracy</t>
  </si>
  <si>
    <t>Avg Staff Needed</t>
  </si>
  <si>
    <t>Peak Staff Needed</t>
  </si>
  <si>
    <t>Interval Start</t>
  </si>
  <si>
    <t>Workload FTE</t>
  </si>
  <si>
    <t>Staff Needed</t>
  </si>
  <si>
    <t>Actual Workload FTE</t>
  </si>
  <si>
    <t>MODEL ASSUMPTIONS</t>
  </si>
  <si>
    <t>Value</t>
  </si>
  <si>
    <t>Average handle time (sec)</t>
  </si>
  <si>
    <t>Target occupancy</t>
  </si>
  <si>
    <t>Shrinkage</t>
  </si>
  <si>
    <t>Interval minutes</t>
  </si>
  <si>
    <t>Operating hours/day</t>
  </si>
  <si>
    <t>Business days modeled</t>
  </si>
  <si>
    <t>Data classification</t>
  </si>
  <si>
    <t>100% synthetic / simulated</t>
  </si>
  <si>
    <t xml:space="preserve">Total Acutal Calls </t>
  </si>
  <si>
    <t xml:space="preserve">Forecast Variance </t>
  </si>
  <si>
    <t>Total</t>
  </si>
  <si>
    <t xml:space="preserve">Peak Staff Needed </t>
  </si>
  <si>
    <t>Forecast Accuracy (1-WAPE)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</si>
</sst>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 d\,\ yyyy"/>
    <numFmt numFmtId="165" formatCode="0.0%"/>
    <numFmt numFmtId="166" formatCode="0.0"/>
    <numFmt numFmtId="172" formatCode="_(* #,##0_);_(* \(#,##0\);_(* &quot;-&quot;??_);_(@_)"/>
  </numFmts>
  <fonts count="10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5324B"/>
      <name val="Carlito"/>
    </font>
    <font>
      <sz val="11"/>
      <name val="Carlito"/>
    </font>
    <font>
      <b/>
      <sz val="11"/>
      <color theme="0"/>
      <name val="Carlito"/>
    </font>
    <font>
      <b/>
      <sz val="22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22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5324B"/>
      </patternFill>
    </fill>
    <fill>
      <patternFill patternType="solid">
        <fgColor rgb="FF187B91"/>
      </patternFill>
    </fill>
    <fill>
      <patternFill patternType="solid">
        <fgColor rgb="FFE8F3F5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7">
    <xf numFmtId="0" fontId="0" fillId="0" borderId="0" xfId="0"/>
    <xf numFmtId="9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8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3" borderId="0" xfId="0" applyFont="1" applyFill="1"/>
    <xf numFmtId="0" fontId="5" fillId="5" borderId="0" xfId="0" applyFont="1" applyFill="1"/>
    <xf numFmtId="10" fontId="5" fillId="5" borderId="0" xfId="0" applyNumberFormat="1" applyFont="1" applyFill="1"/>
    <xf numFmtId="1" fontId="0" fillId="0" borderId="0" xfId="0" applyNumberFormat="1"/>
    <xf numFmtId="1" fontId="5" fillId="5" borderId="0" xfId="0" applyNumberFormat="1" applyFont="1" applyFill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6" borderId="0" xfId="0" applyFont="1" applyFill="1"/>
    <xf numFmtId="0" fontId="7" fillId="6" borderId="0" xfId="0" applyFont="1" applyFill="1"/>
    <xf numFmtId="10" fontId="7" fillId="6" borderId="0" xfId="0" applyNumberFormat="1" applyFont="1" applyFill="1"/>
    <xf numFmtId="10" fontId="7" fillId="0" borderId="0" xfId="0" applyNumberFormat="1" applyFont="1"/>
    <xf numFmtId="0" fontId="7" fillId="0" borderId="0" xfId="0" applyNumberFormat="1" applyFont="1"/>
    <xf numFmtId="172" fontId="7" fillId="6" borderId="0" xfId="1" applyNumberFormat="1" applyFont="1" applyFill="1"/>
    <xf numFmtId="0" fontId="9" fillId="4" borderId="0" xfId="0" applyFont="1" applyFill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9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29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aseline="0"/>
              <a:t>14 Day Forecasted Vs. Actual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</c:v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'Daily Forecast'!$A$2:$A$15</c:f>
              <c:numCache>
                <c:formatCode>mmm\ d\,\ yyyy</c:formatCode>
                <c:ptCount val="14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46277</c:v>
                </c:pt>
                <c:pt idx="6">
                  <c:v>46278</c:v>
                </c:pt>
                <c:pt idx="7">
                  <c:v>46279</c:v>
                </c:pt>
                <c:pt idx="8">
                  <c:v>46280</c:v>
                </c:pt>
                <c:pt idx="9">
                  <c:v>46281</c:v>
                </c:pt>
                <c:pt idx="10">
                  <c:v>46282</c:v>
                </c:pt>
                <c:pt idx="11">
                  <c:v>46283</c:v>
                </c:pt>
                <c:pt idx="12">
                  <c:v>46284</c:v>
                </c:pt>
                <c:pt idx="13">
                  <c:v>46285</c:v>
                </c:pt>
              </c:numCache>
            </c:numRef>
          </c:cat>
          <c:val>
            <c:numRef>
              <c:f>'Daily Forecast'!$B$2:$B$15</c:f>
              <c:numCache>
                <c:formatCode>General</c:formatCode>
                <c:ptCount val="14"/>
                <c:pt idx="0">
                  <c:v>3270</c:v>
                </c:pt>
                <c:pt idx="1">
                  <c:v>3475</c:v>
                </c:pt>
                <c:pt idx="2">
                  <c:v>3638</c:v>
                </c:pt>
                <c:pt idx="3">
                  <c:v>3562</c:v>
                </c:pt>
                <c:pt idx="4">
                  <c:v>3340</c:v>
                </c:pt>
                <c:pt idx="5">
                  <c:v>2842</c:v>
                </c:pt>
                <c:pt idx="6">
                  <c:v>2758</c:v>
                </c:pt>
                <c:pt idx="7">
                  <c:v>3380</c:v>
                </c:pt>
                <c:pt idx="8">
                  <c:v>3659</c:v>
                </c:pt>
                <c:pt idx="9">
                  <c:v>3797</c:v>
                </c:pt>
                <c:pt idx="10">
                  <c:v>3719</c:v>
                </c:pt>
                <c:pt idx="11">
                  <c:v>3487</c:v>
                </c:pt>
                <c:pt idx="12">
                  <c:v>2983</c:v>
                </c:pt>
                <c:pt idx="13">
                  <c:v>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F-684E-A4AF-3FC772D61705}"/>
            </c:ext>
          </c:extLst>
        </c:ser>
        <c:ser>
          <c:idx val="1"/>
          <c:order val="1"/>
          <c:tx>
            <c:v>Actual</c:v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38000">
                  <a:schemeClr val="accent3">
                    <a:lumMod val="95000"/>
                    <a:lumOff val="5000"/>
                  </a:schemeClr>
                </a:gs>
                <a:gs pos="74000">
                  <a:schemeClr val="accent3">
                    <a:lumMod val="60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>
              <a:solidFill>
                <a:srgbClr val="E97132">
                  <a:lumMod val="40000"/>
                  <a:lumOff val="60000"/>
                </a:srgbClr>
              </a:solidFill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9"/>
            <c:bubble3D val="0"/>
            <c:spPr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38000">
                    <a:schemeClr val="accent3">
                      <a:lumMod val="95000"/>
                      <a:lumOff val="5000"/>
                    </a:schemeClr>
                  </a:gs>
                  <a:gs pos="74000">
                    <a:schemeClr val="accent3">
                      <a:lumMod val="60000"/>
                    </a:scheme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cmpd="dbl">
                <a:solidFill>
                  <a:srgbClr val="E97132">
                    <a:lumMod val="40000"/>
                    <a:lumOff val="60000"/>
                  </a:srgbClr>
                </a:solidFill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2BCF-684E-A4AF-3FC772D61705}"/>
              </c:ext>
            </c:extLst>
          </c:dPt>
          <c:cat>
            <c:numRef>
              <c:f>'Daily Forecast'!$A$2:$A$15</c:f>
              <c:numCache>
                <c:formatCode>mmm\ d\,\ yyyy</c:formatCode>
                <c:ptCount val="14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46277</c:v>
                </c:pt>
                <c:pt idx="6">
                  <c:v>46278</c:v>
                </c:pt>
                <c:pt idx="7">
                  <c:v>46279</c:v>
                </c:pt>
                <c:pt idx="8">
                  <c:v>46280</c:v>
                </c:pt>
                <c:pt idx="9">
                  <c:v>46281</c:v>
                </c:pt>
                <c:pt idx="10">
                  <c:v>46282</c:v>
                </c:pt>
                <c:pt idx="11">
                  <c:v>46283</c:v>
                </c:pt>
                <c:pt idx="12">
                  <c:v>46284</c:v>
                </c:pt>
                <c:pt idx="13">
                  <c:v>46285</c:v>
                </c:pt>
              </c:numCache>
            </c:numRef>
          </c:cat>
          <c:val>
            <c:numRef>
              <c:f>'Daily Forecast'!$C$2:$C$15</c:f>
              <c:numCache>
                <c:formatCode>General</c:formatCode>
                <c:ptCount val="14"/>
                <c:pt idx="0">
                  <c:v>3299</c:v>
                </c:pt>
                <c:pt idx="1">
                  <c:v>3460</c:v>
                </c:pt>
                <c:pt idx="2">
                  <c:v>3627</c:v>
                </c:pt>
                <c:pt idx="3">
                  <c:v>3471</c:v>
                </c:pt>
                <c:pt idx="4">
                  <c:v>3273</c:v>
                </c:pt>
                <c:pt idx="5">
                  <c:v>2786</c:v>
                </c:pt>
                <c:pt idx="6">
                  <c:v>2786</c:v>
                </c:pt>
                <c:pt idx="7">
                  <c:v>3332</c:v>
                </c:pt>
                <c:pt idx="8">
                  <c:v>3712</c:v>
                </c:pt>
                <c:pt idx="9">
                  <c:v>3758</c:v>
                </c:pt>
                <c:pt idx="10">
                  <c:v>3685</c:v>
                </c:pt>
                <c:pt idx="11">
                  <c:v>3410</c:v>
                </c:pt>
                <c:pt idx="12">
                  <c:v>2889</c:v>
                </c:pt>
                <c:pt idx="13">
                  <c:v>2860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F-684E-A4AF-3FC772D61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298751"/>
        <c:axId val="326090480"/>
      </c:lineChart>
      <c:dateAx>
        <c:axId val="2090298751"/>
        <c:scaling>
          <c:orientation val="minMax"/>
        </c:scaling>
        <c:delete val="0"/>
        <c:axPos val="t"/>
        <c:numFmt formatCode="mmm\ d\,\ yyyy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90480"/>
        <c:crosses val="max"/>
        <c:auto val="1"/>
        <c:lblOffset val="100"/>
        <c:baseTimeUnit val="days"/>
      </c:dateAx>
      <c:valAx>
        <c:axId val="326090480"/>
        <c:scaling>
          <c:orientation val="minMax"/>
          <c:min val="24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98751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aseline="0"/>
              <a:t>14 Day Peak Staff Needed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Peak Staff Needed</c:v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'Daily Forecast'!$A$2:$A$15</c:f>
              <c:numCache>
                <c:formatCode>mmm\ d\,\ yyyy</c:formatCode>
                <c:ptCount val="14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46277</c:v>
                </c:pt>
                <c:pt idx="6">
                  <c:v>46278</c:v>
                </c:pt>
                <c:pt idx="7">
                  <c:v>46279</c:v>
                </c:pt>
                <c:pt idx="8">
                  <c:v>46280</c:v>
                </c:pt>
                <c:pt idx="9">
                  <c:v>46281</c:v>
                </c:pt>
                <c:pt idx="10">
                  <c:v>46282</c:v>
                </c:pt>
                <c:pt idx="11">
                  <c:v>46283</c:v>
                </c:pt>
                <c:pt idx="12">
                  <c:v>46284</c:v>
                </c:pt>
                <c:pt idx="13">
                  <c:v>46285</c:v>
                </c:pt>
              </c:numCache>
            </c:numRef>
          </c:cat>
          <c:val>
            <c:numRef>
              <c:f>'Daily Forecast'!$H$2:$H$15</c:f>
              <c:numCache>
                <c:formatCode>General</c:formatCode>
                <c:ptCount val="14"/>
                <c:pt idx="0">
                  <c:v>85</c:v>
                </c:pt>
                <c:pt idx="1">
                  <c:v>86</c:v>
                </c:pt>
                <c:pt idx="2">
                  <c:v>88</c:v>
                </c:pt>
                <c:pt idx="3">
                  <c:v>87</c:v>
                </c:pt>
                <c:pt idx="4">
                  <c:v>85</c:v>
                </c:pt>
                <c:pt idx="5">
                  <c:v>70</c:v>
                </c:pt>
                <c:pt idx="6">
                  <c:v>69</c:v>
                </c:pt>
                <c:pt idx="7">
                  <c:v>83</c:v>
                </c:pt>
                <c:pt idx="8">
                  <c:v>89</c:v>
                </c:pt>
                <c:pt idx="9">
                  <c:v>96</c:v>
                </c:pt>
                <c:pt idx="10">
                  <c:v>97</c:v>
                </c:pt>
                <c:pt idx="11">
                  <c:v>87</c:v>
                </c:pt>
                <c:pt idx="12">
                  <c:v>77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F-684E-A4AF-3FC772D61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0298751"/>
        <c:axId val="326090480"/>
      </c:barChart>
      <c:dateAx>
        <c:axId val="209029875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90480"/>
        <c:crosses val="autoZero"/>
        <c:auto val="1"/>
        <c:lblOffset val="100"/>
        <c:baseTimeUnit val="days"/>
      </c:dateAx>
      <c:valAx>
        <c:axId val="3260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9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aseline="0"/>
              <a:t>14 day Forecasted Vs. Actual and Peak Staff Needed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64358784253717E-2"/>
          <c:y val="0.1021624504251176"/>
          <c:w val="0.9313920698665451"/>
          <c:h val="0.81593497586995178"/>
        </c:manualLayout>
      </c:layout>
      <c:barChart>
        <c:barDir val="col"/>
        <c:grouping val="clustered"/>
        <c:varyColors val="0"/>
        <c:ser>
          <c:idx val="1"/>
          <c:order val="1"/>
          <c:tx>
            <c:v>Actual Calls</c:v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38000">
                  <a:schemeClr val="accent3">
                    <a:lumMod val="95000"/>
                    <a:lumOff val="5000"/>
                  </a:schemeClr>
                </a:gs>
                <a:gs pos="74000">
                  <a:schemeClr val="accent3">
                    <a:lumMod val="60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>
              <a:solidFill>
                <a:schemeClr val="tx1"/>
              </a:solidFill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38000">
                    <a:schemeClr val="accent3">
                      <a:lumMod val="95000"/>
                      <a:lumOff val="5000"/>
                    </a:schemeClr>
                  </a:gs>
                  <a:gs pos="74000">
                    <a:schemeClr val="accent3">
                      <a:lumMod val="60000"/>
                    </a:scheme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cmpd="dbl">
                <a:solidFill>
                  <a:schemeClr val="tx1"/>
                </a:solidFill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74-B04A-A173-E8097AA7AF99}"/>
              </c:ext>
            </c:extLst>
          </c:dPt>
          <c:cat>
            <c:numRef>
              <c:f>'Daily Forecast'!$A$2:$A$15</c:f>
              <c:numCache>
                <c:formatCode>mmm\ d\,\ yyyy</c:formatCode>
                <c:ptCount val="14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46277</c:v>
                </c:pt>
                <c:pt idx="6">
                  <c:v>46278</c:v>
                </c:pt>
                <c:pt idx="7">
                  <c:v>46279</c:v>
                </c:pt>
                <c:pt idx="8">
                  <c:v>46280</c:v>
                </c:pt>
                <c:pt idx="9">
                  <c:v>46281</c:v>
                </c:pt>
                <c:pt idx="10">
                  <c:v>46282</c:v>
                </c:pt>
                <c:pt idx="11">
                  <c:v>46283</c:v>
                </c:pt>
                <c:pt idx="12">
                  <c:v>46284</c:v>
                </c:pt>
                <c:pt idx="13">
                  <c:v>46285</c:v>
                </c:pt>
              </c:numCache>
            </c:numRef>
          </c:cat>
          <c:val>
            <c:numRef>
              <c:f>'Daily Forecast'!$C$2:$C$15</c:f>
              <c:numCache>
                <c:formatCode>General</c:formatCode>
                <c:ptCount val="14"/>
                <c:pt idx="0">
                  <c:v>3299</c:v>
                </c:pt>
                <c:pt idx="1">
                  <c:v>3460</c:v>
                </c:pt>
                <c:pt idx="2">
                  <c:v>3627</c:v>
                </c:pt>
                <c:pt idx="3">
                  <c:v>3471</c:v>
                </c:pt>
                <c:pt idx="4">
                  <c:v>3273</c:v>
                </c:pt>
                <c:pt idx="5">
                  <c:v>2786</c:v>
                </c:pt>
                <c:pt idx="6">
                  <c:v>2786</c:v>
                </c:pt>
                <c:pt idx="7">
                  <c:v>3332</c:v>
                </c:pt>
                <c:pt idx="8">
                  <c:v>3712</c:v>
                </c:pt>
                <c:pt idx="9">
                  <c:v>3758</c:v>
                </c:pt>
                <c:pt idx="10">
                  <c:v>3685</c:v>
                </c:pt>
                <c:pt idx="11">
                  <c:v>3410</c:v>
                </c:pt>
                <c:pt idx="12">
                  <c:v>2889</c:v>
                </c:pt>
                <c:pt idx="13">
                  <c:v>2860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4-B04A-A173-E8097AA7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0298751"/>
        <c:axId val="326090480"/>
      </c:barChart>
      <c:lineChart>
        <c:grouping val="standard"/>
        <c:varyColors val="0"/>
        <c:ser>
          <c:idx val="0"/>
          <c:order val="0"/>
          <c:tx>
            <c:v>Peak Staff Needed</c:v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'Daily Forecast'!$A$2:$A$15</c:f>
              <c:numCache>
                <c:formatCode>mmm\ d\,\ yyyy</c:formatCode>
                <c:ptCount val="14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46277</c:v>
                </c:pt>
                <c:pt idx="6">
                  <c:v>46278</c:v>
                </c:pt>
                <c:pt idx="7">
                  <c:v>46279</c:v>
                </c:pt>
                <c:pt idx="8">
                  <c:v>46280</c:v>
                </c:pt>
                <c:pt idx="9">
                  <c:v>46281</c:v>
                </c:pt>
                <c:pt idx="10">
                  <c:v>46282</c:v>
                </c:pt>
                <c:pt idx="11">
                  <c:v>46283</c:v>
                </c:pt>
                <c:pt idx="12">
                  <c:v>46284</c:v>
                </c:pt>
                <c:pt idx="13">
                  <c:v>46285</c:v>
                </c:pt>
              </c:numCache>
            </c:numRef>
          </c:cat>
          <c:val>
            <c:numRef>
              <c:f>'Daily Forecast'!$B$2:$B$15</c:f>
              <c:numCache>
                <c:formatCode>General</c:formatCode>
                <c:ptCount val="14"/>
                <c:pt idx="0">
                  <c:v>3270</c:v>
                </c:pt>
                <c:pt idx="1">
                  <c:v>3475</c:v>
                </c:pt>
                <c:pt idx="2">
                  <c:v>3638</c:v>
                </c:pt>
                <c:pt idx="3">
                  <c:v>3562</c:v>
                </c:pt>
                <c:pt idx="4">
                  <c:v>3340</c:v>
                </c:pt>
                <c:pt idx="5">
                  <c:v>2842</c:v>
                </c:pt>
                <c:pt idx="6">
                  <c:v>2758</c:v>
                </c:pt>
                <c:pt idx="7">
                  <c:v>3380</c:v>
                </c:pt>
                <c:pt idx="8">
                  <c:v>3659</c:v>
                </c:pt>
                <c:pt idx="9">
                  <c:v>3797</c:v>
                </c:pt>
                <c:pt idx="10">
                  <c:v>3719</c:v>
                </c:pt>
                <c:pt idx="11">
                  <c:v>3487</c:v>
                </c:pt>
                <c:pt idx="12">
                  <c:v>2983</c:v>
                </c:pt>
                <c:pt idx="13">
                  <c:v>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74-B04A-A173-E8097AA7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298751"/>
        <c:axId val="326090480"/>
      </c:lineChart>
      <c:lineChart>
        <c:grouping val="standard"/>
        <c:varyColors val="0"/>
        <c:ser>
          <c:idx val="2"/>
          <c:order val="2"/>
          <c:tx>
            <c:v>Forecasted Calls</c:v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'Daily Forecast'!$A$2:$A$15</c:f>
              <c:numCache>
                <c:formatCode>mmm\ d\,\ yyyy</c:formatCode>
                <c:ptCount val="14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46277</c:v>
                </c:pt>
                <c:pt idx="6">
                  <c:v>46278</c:v>
                </c:pt>
                <c:pt idx="7">
                  <c:v>46279</c:v>
                </c:pt>
                <c:pt idx="8">
                  <c:v>46280</c:v>
                </c:pt>
                <c:pt idx="9">
                  <c:v>46281</c:v>
                </c:pt>
                <c:pt idx="10">
                  <c:v>46282</c:v>
                </c:pt>
                <c:pt idx="11">
                  <c:v>46283</c:v>
                </c:pt>
                <c:pt idx="12">
                  <c:v>46284</c:v>
                </c:pt>
                <c:pt idx="13">
                  <c:v>46285</c:v>
                </c:pt>
              </c:numCache>
            </c:numRef>
          </c:cat>
          <c:val>
            <c:numRef>
              <c:f>'Daily Forecast'!$H$2:$H$15</c:f>
              <c:numCache>
                <c:formatCode>General</c:formatCode>
                <c:ptCount val="14"/>
                <c:pt idx="0">
                  <c:v>85</c:v>
                </c:pt>
                <c:pt idx="1">
                  <c:v>86</c:v>
                </c:pt>
                <c:pt idx="2">
                  <c:v>88</c:v>
                </c:pt>
                <c:pt idx="3">
                  <c:v>87</c:v>
                </c:pt>
                <c:pt idx="4">
                  <c:v>85</c:v>
                </c:pt>
                <c:pt idx="5">
                  <c:v>70</c:v>
                </c:pt>
                <c:pt idx="6">
                  <c:v>69</c:v>
                </c:pt>
                <c:pt idx="7">
                  <c:v>83</c:v>
                </c:pt>
                <c:pt idx="8">
                  <c:v>89</c:v>
                </c:pt>
                <c:pt idx="9">
                  <c:v>96</c:v>
                </c:pt>
                <c:pt idx="10">
                  <c:v>97</c:v>
                </c:pt>
                <c:pt idx="11">
                  <c:v>87</c:v>
                </c:pt>
                <c:pt idx="12">
                  <c:v>77</c:v>
                </c:pt>
                <c:pt idx="1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74-B04A-A173-E8097AA7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738863"/>
        <c:axId val="2116715647"/>
      </c:lineChart>
      <c:dateAx>
        <c:axId val="209029875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90480"/>
        <c:crosses val="autoZero"/>
        <c:auto val="1"/>
        <c:lblOffset val="100"/>
        <c:baseTimeUnit val="days"/>
      </c:dateAx>
      <c:valAx>
        <c:axId val="3260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98751"/>
        <c:crosses val="autoZero"/>
        <c:crossBetween val="between"/>
      </c:valAx>
      <c:valAx>
        <c:axId val="21167156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38863"/>
        <c:crosses val="max"/>
        <c:crossBetween val="between"/>
      </c:valAx>
      <c:dateAx>
        <c:axId val="2116738863"/>
        <c:scaling>
          <c:orientation val="minMax"/>
        </c:scaling>
        <c:delete val="1"/>
        <c:axPos val="b"/>
        <c:numFmt formatCode="mmm\ d\,\ yyyy" sourceLinked="1"/>
        <c:majorTickMark val="out"/>
        <c:minorTickMark val="none"/>
        <c:tickLblPos val="nextTo"/>
        <c:crossAx val="2116715647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42899155019717"/>
          <c:y val="5.4443110722044143E-2"/>
          <c:w val="0.47819587729812091"/>
          <c:h val="2.3094605432177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129017</xdr:rowOff>
    </xdr:from>
    <xdr:to>
      <xdr:col>6</xdr:col>
      <xdr:colOff>2455333</xdr:colOff>
      <xdr:row>74</xdr:row>
      <xdr:rowOff>158180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97008</xdr:rowOff>
    </xdr:from>
    <xdr:to>
      <xdr:col>6</xdr:col>
      <xdr:colOff>2455333</xdr:colOff>
      <xdr:row>46</xdr:row>
      <xdr:rowOff>39245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2524863</xdr:colOff>
      <xdr:row>21</xdr:row>
      <xdr:rowOff>80894</xdr:rowOff>
    </xdr:from>
    <xdr:to>
      <xdr:col>25</xdr:col>
      <xdr:colOff>322539</xdr:colOff>
      <xdr:row>75</xdr:row>
      <xdr:rowOff>1008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870F44F-9136-2C21-8704-D7BBA52BC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558361</xdr:colOff>
      <xdr:row>12</xdr:row>
      <xdr:rowOff>104686</xdr:rowOff>
    </xdr:from>
    <xdr:to>
      <xdr:col>6</xdr:col>
      <xdr:colOff>678185</xdr:colOff>
      <xdr:row>21</xdr:row>
      <xdr:rowOff>26309</xdr:rowOff>
    </xdr:to>
    <xdr:sp macro="" textlink="$G$5">
      <xdr:nvSpPr>
        <xdr:cNvPr id="8" name="Rectangle 7">
          <a:extLst>
            <a:ext uri="{FF2B5EF4-FFF2-40B4-BE49-F238E27FC236}">
              <a16:creationId xmlns:a16="http://schemas.microsoft.com/office/drawing/2014/main" id="{9C57D510-EF70-584A-AF98-03E26FAA5CE5}"/>
            </a:ext>
          </a:extLst>
        </xdr:cNvPr>
        <xdr:cNvSpPr/>
      </xdr:nvSpPr>
      <xdr:spPr>
        <a:xfrm>
          <a:off x="8037250" y="2301988"/>
          <a:ext cx="4937760" cy="1554480"/>
        </a:xfrm>
        <a:prstGeom prst="rect">
          <a:avLst/>
        </a:prstGeom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85000"/>
                <a:lumOff val="15000"/>
              </a:schemeClr>
            </a:gs>
          </a:gsLst>
          <a:path path="circle">
            <a:fillToRect l="50000" t="50000" r="50000" b="50000"/>
          </a:path>
        </a:gra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FDE5D69-D39E-F04F-8B6E-E3501BC836E2}" type="TxLink">
            <a:rPr lang="en-US" sz="2800" b="0" i="0" u="none" strike="noStrike">
              <a:solidFill>
                <a:schemeClr val="bg1"/>
              </a:solidFill>
              <a:latin typeface="Carlito"/>
            </a:rPr>
            <a:pPr algn="ctr"/>
            <a:t>Forecast Variance 
-1.01%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60475</xdr:colOff>
      <xdr:row>12</xdr:row>
      <xdr:rowOff>101288</xdr:rowOff>
    </xdr:from>
    <xdr:to>
      <xdr:col>2</xdr:col>
      <xdr:colOff>966489</xdr:colOff>
      <xdr:row>21</xdr:row>
      <xdr:rowOff>22911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02E8211-9B83-AEC7-CAEC-7558AD50C802}"/>
            </a:ext>
          </a:extLst>
        </xdr:cNvPr>
        <xdr:cNvGrpSpPr/>
      </xdr:nvGrpSpPr>
      <xdr:grpSpPr>
        <a:xfrm>
          <a:off x="60475" y="2311088"/>
          <a:ext cx="4944614" cy="1636123"/>
          <a:chOff x="16663971" y="1900681"/>
          <a:chExt cx="4498174" cy="1598342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D320C99-CD62-EA37-5193-11FC8D42EFE7}"/>
              </a:ext>
            </a:extLst>
          </xdr:cNvPr>
          <xdr:cNvSpPr/>
        </xdr:nvSpPr>
        <xdr:spPr>
          <a:xfrm>
            <a:off x="16663971" y="1900681"/>
            <a:ext cx="4498174" cy="1598342"/>
          </a:xfrm>
          <a:prstGeom prst="rect">
            <a:avLst/>
          </a:prstGeom>
          <a:gradFill>
            <a:gsLst>
              <a:gs pos="0">
                <a:schemeClr val="dk1">
                  <a:lumMod val="65000"/>
                  <a:lumOff val="35000"/>
                </a:schemeClr>
              </a:gs>
              <a:gs pos="100000">
                <a:schemeClr val="dk1">
                  <a:lumMod val="85000"/>
                  <a:lumOff val="15000"/>
                </a:schemeClr>
              </a:gs>
            </a:gsLst>
            <a:path path="circle">
              <a:fillToRect l="50000" t="50000" r="50000" b="50000"/>
            </a:path>
          </a:gra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=</a:t>
            </a:r>
          </a:p>
        </xdr:txBody>
      </xdr:sp>
      <xdr:sp macro="" textlink="$E$4">
        <xdr:nvSpPr>
          <xdr:cNvPr id="9" name="TextBox 8">
            <a:extLst>
              <a:ext uri="{FF2B5EF4-FFF2-40B4-BE49-F238E27FC236}">
                <a16:creationId xmlns:a16="http://schemas.microsoft.com/office/drawing/2014/main" id="{D755E8D0-F151-11D7-321E-4F27DF5C1355}"/>
              </a:ext>
            </a:extLst>
          </xdr:cNvPr>
          <xdr:cNvSpPr txBox="1"/>
        </xdr:nvSpPr>
        <xdr:spPr>
          <a:xfrm>
            <a:off x="16700096" y="1921179"/>
            <a:ext cx="4429487" cy="15490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2800" b="0" i="0" u="none" strike="noStrike">
                <a:solidFill>
                  <a:schemeClr val="bg1"/>
                </a:solidFill>
                <a:latin typeface="Carlito"/>
              </a:rPr>
              <a:t>Total Actual Calls </a:t>
            </a:r>
          </a:p>
          <a:p>
            <a:pPr algn="ctr"/>
            <a:fld id="{BA6AE565-F4BC-184E-BC42-F716FDBDEB26}" type="TxLink">
              <a:rPr lang="en-US" sz="2800" b="0" i="0" u="none" strike="noStrike">
                <a:solidFill>
                  <a:schemeClr val="bg1"/>
                </a:solidFill>
                <a:latin typeface="Carlito"/>
              </a:rPr>
              <a:pPr algn="ctr"/>
              <a:t> 46,348 </a:t>
            </a:fld>
            <a:endParaRPr lang="en-US" sz="28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745235</xdr:colOff>
      <xdr:row>12</xdr:row>
      <xdr:rowOff>80806</xdr:rowOff>
    </xdr:from>
    <xdr:to>
      <xdr:col>14</xdr:col>
      <xdr:colOff>482043</xdr:colOff>
      <xdr:row>21</xdr:row>
      <xdr:rowOff>2429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BDC55C0-7B44-B56C-973A-C5CAAB0C935F}"/>
            </a:ext>
          </a:extLst>
        </xdr:cNvPr>
        <xdr:cNvGrpSpPr/>
      </xdr:nvGrpSpPr>
      <xdr:grpSpPr>
        <a:xfrm>
          <a:off x="15947135" y="2290606"/>
          <a:ext cx="4994608" cy="1636123"/>
          <a:chOff x="1222271" y="1717999"/>
          <a:chExt cx="4483939" cy="1599519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EBCA3FB-6579-D04D-BFDC-552118F9AFA6}"/>
              </a:ext>
            </a:extLst>
          </xdr:cNvPr>
          <xdr:cNvSpPr/>
        </xdr:nvSpPr>
        <xdr:spPr>
          <a:xfrm>
            <a:off x="1222271" y="1721896"/>
            <a:ext cx="4483939" cy="1595622"/>
          </a:xfrm>
          <a:prstGeom prst="rect">
            <a:avLst/>
          </a:prstGeom>
          <a:gradFill>
            <a:gsLst>
              <a:gs pos="0">
                <a:schemeClr val="dk1">
                  <a:lumMod val="65000"/>
                  <a:lumOff val="35000"/>
                </a:schemeClr>
              </a:gs>
              <a:gs pos="100000">
                <a:schemeClr val="dk1">
                  <a:lumMod val="85000"/>
                  <a:lumOff val="15000"/>
                </a:schemeClr>
              </a:gs>
            </a:gsLst>
            <a:path path="circle">
              <a:fillToRect l="50000" t="50000" r="50000" b="50000"/>
            </a:path>
          </a:gra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G7">
        <xdr:nvSpPr>
          <xdr:cNvPr id="13" name="TextBox 12">
            <a:extLst>
              <a:ext uri="{FF2B5EF4-FFF2-40B4-BE49-F238E27FC236}">
                <a16:creationId xmlns:a16="http://schemas.microsoft.com/office/drawing/2014/main" id="{FE25D57D-84F2-2441-99F0-B3B902266190}"/>
              </a:ext>
            </a:extLst>
          </xdr:cNvPr>
          <xdr:cNvSpPr txBox="1"/>
        </xdr:nvSpPr>
        <xdr:spPr>
          <a:xfrm>
            <a:off x="1240465" y="1717999"/>
            <a:ext cx="4439654" cy="15899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fld id="{3611DD97-35EE-D843-9540-3FC36FCE118F}" type="TxLink">
              <a:rPr lang="en-US" sz="3200" b="0" i="0" u="none" strike="noStrike">
                <a:solidFill>
                  <a:schemeClr val="bg1"/>
                </a:solidFill>
                <a:latin typeface="Carlito"/>
              </a:rPr>
              <a:t>Forecast Accuracy (1-WAPE)
98.51%</a:t>
            </a:fld>
            <a:endParaRPr lang="en-US" sz="3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20316</xdr:colOff>
      <xdr:row>12</xdr:row>
      <xdr:rowOff>48777</xdr:rowOff>
    </xdr:from>
    <xdr:to>
      <xdr:col>25</xdr:col>
      <xdr:colOff>301410</xdr:colOff>
      <xdr:row>20</xdr:row>
      <xdr:rowOff>151829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614B417-26D2-A510-A4EC-B0BDA8F3893A}"/>
            </a:ext>
          </a:extLst>
        </xdr:cNvPr>
        <xdr:cNvGrpSpPr/>
      </xdr:nvGrpSpPr>
      <xdr:grpSpPr>
        <a:xfrm>
          <a:off x="23172416" y="2258577"/>
          <a:ext cx="4992794" cy="1627052"/>
          <a:chOff x="11830345" y="1939755"/>
          <a:chExt cx="4526538" cy="1598342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4306BEA5-B473-3342-946A-A31999CE78A8}"/>
              </a:ext>
            </a:extLst>
          </xdr:cNvPr>
          <xdr:cNvSpPr/>
        </xdr:nvSpPr>
        <xdr:spPr>
          <a:xfrm>
            <a:off x="11830345" y="1939755"/>
            <a:ext cx="4526538" cy="1598342"/>
          </a:xfrm>
          <a:prstGeom prst="rect">
            <a:avLst/>
          </a:prstGeom>
          <a:gradFill>
            <a:gsLst>
              <a:gs pos="0">
                <a:schemeClr val="dk1">
                  <a:lumMod val="65000"/>
                  <a:lumOff val="35000"/>
                </a:schemeClr>
              </a:gs>
              <a:gs pos="100000">
                <a:schemeClr val="dk1">
                  <a:lumMod val="85000"/>
                  <a:lumOff val="15000"/>
                </a:schemeClr>
              </a:gs>
            </a:gsLst>
            <a:path path="circle">
              <a:fillToRect l="50000" t="50000" r="50000" b="50000"/>
            </a:path>
          </a:gra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G6">
        <xdr:nvSpPr>
          <xdr:cNvPr id="14" name="TextBox 13">
            <a:extLst>
              <a:ext uri="{FF2B5EF4-FFF2-40B4-BE49-F238E27FC236}">
                <a16:creationId xmlns:a16="http://schemas.microsoft.com/office/drawing/2014/main" id="{5CD750A4-B787-B1ED-2C97-4ED5ACECD2E8}"/>
              </a:ext>
            </a:extLst>
          </xdr:cNvPr>
          <xdr:cNvSpPr txBox="1"/>
        </xdr:nvSpPr>
        <xdr:spPr>
          <a:xfrm>
            <a:off x="11850638" y="1981847"/>
            <a:ext cx="4496152" cy="15277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fld id="{7F79DBFA-3E0F-BD44-8770-67A9344FCF14}" type="TxLink">
              <a:rPr lang="en-US" sz="3200" b="0" i="0" u="none" strike="noStrike">
                <a:solidFill>
                  <a:schemeClr val="bg1"/>
                </a:solidFill>
                <a:latin typeface="Carlito"/>
              </a:rPr>
              <a:t>Peak Staff Needed  - 97</a:t>
            </a:fld>
            <a:endParaRPr lang="en-US" sz="3200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ChatGPT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Calibri Light"/>
      <a:ea typeface="Calibri Light"/>
      <a:cs typeface="Calibri Light"/>
    </a:majorFont>
    <a:minorFont>
      <a:latin typeface="Calibri"/>
      <a:ea typeface="Calibri"/>
      <a:cs typeface="Calibri"/>
    </a:minorFont>
  </a:fontScheme>
  <a:fmtScheme name="ChatGPT">
    <a:fillStyleLst>
      <a:solidFill>
        <a:schemeClr val="phClr"/>
      </a:solidFill>
      <a:gradFill>
        <a:gsLst>
          <a:gs pos="0">
            <a:schemeClr val="phClr">
              <a:tint val="67000"/>
              <a:lumMod val="110000"/>
              <a:satMod val="105000"/>
            </a:schemeClr>
          </a:gs>
          <a:gs pos="50000">
            <a:schemeClr val="phClr">
              <a:tint val="73000"/>
              <a:lumMod val="105000"/>
              <a:satMod val="103000"/>
            </a:schemeClr>
          </a:gs>
          <a:gs pos="100000">
            <a:schemeClr val="phClr">
              <a:tint val="81000"/>
              <a:lumMod val="105000"/>
              <a:satMod val="109000"/>
            </a:schemeClr>
          </a:gs>
        </a:gsLst>
        <a:lin ang="5400000" scaled="0"/>
      </a:gradFill>
      <a:gradFill>
        <a:gsLst>
          <a:gs pos="0">
            <a:schemeClr val="phClr">
              <a:tint val="94000"/>
              <a:lumMod val="102000"/>
              <a:satMod val="103000"/>
            </a:schemeClr>
          </a:gs>
          <a:gs pos="50000">
            <a:schemeClr val="phClr">
              <a:shade val="100000"/>
              <a:lumMod val="100000"/>
              <a:satMod val="110000"/>
            </a:schemeClr>
          </a:gs>
          <a:gs pos="100000">
            <a:schemeClr val="phClr">
              <a:shade val="78000"/>
              <a:lumMod val="99000"/>
              <a:satMod val="120000"/>
            </a:schemeClr>
          </a:gs>
        </a:gsLst>
        <a:lin ang="5400000" scaled="0"/>
      </a:gradFill>
    </a:fillStyleLst>
    <a:lnStyleLst>
      <a:ln w="12700">
        <a:solidFill>
          <a:schemeClr val="phClr"/>
        </a:solidFill>
        <a:prstDash val="solid"/>
      </a:ln>
      <a:ln w="19050">
        <a:solidFill>
          <a:schemeClr val="phClr"/>
        </a:solidFill>
        <a:prstDash val="solid"/>
      </a:ln>
      <a:ln w="25400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>
        <a:gsLst>
          <a:gs pos="0">
            <a:schemeClr val="phClr">
              <a:tint val="93000"/>
              <a:shade val="98000"/>
              <a:lumMod val="102000"/>
              <a:satMod val="150000"/>
            </a:schemeClr>
          </a:gs>
          <a:gs pos="50000">
            <a:schemeClr val="phClr">
              <a:tint val="98000"/>
              <a:shade val="90000"/>
              <a:lumMod val="103000"/>
              <a:satMod val="130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hatGPT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Calibri Light"/>
      <a:ea typeface="Calibri Light"/>
      <a:cs typeface="Calibri Light"/>
    </a:majorFont>
    <a:minorFont>
      <a:latin typeface="Calibri"/>
      <a:ea typeface="Calibri"/>
      <a:cs typeface="Calibri"/>
    </a:minorFont>
  </a:fontScheme>
  <a:fmtScheme name="ChatGPT">
    <a:fillStyleLst>
      <a:solidFill>
        <a:schemeClr val="phClr"/>
      </a:solidFill>
      <a:gradFill>
        <a:gsLst>
          <a:gs pos="0">
            <a:schemeClr val="phClr">
              <a:tint val="67000"/>
              <a:lumMod val="110000"/>
              <a:satMod val="105000"/>
            </a:schemeClr>
          </a:gs>
          <a:gs pos="50000">
            <a:schemeClr val="phClr">
              <a:tint val="73000"/>
              <a:lumMod val="105000"/>
              <a:satMod val="103000"/>
            </a:schemeClr>
          </a:gs>
          <a:gs pos="100000">
            <a:schemeClr val="phClr">
              <a:tint val="81000"/>
              <a:lumMod val="105000"/>
              <a:satMod val="109000"/>
            </a:schemeClr>
          </a:gs>
        </a:gsLst>
        <a:lin ang="5400000" scaled="0"/>
      </a:gradFill>
      <a:gradFill>
        <a:gsLst>
          <a:gs pos="0">
            <a:schemeClr val="phClr">
              <a:tint val="94000"/>
              <a:lumMod val="102000"/>
              <a:satMod val="103000"/>
            </a:schemeClr>
          </a:gs>
          <a:gs pos="50000">
            <a:schemeClr val="phClr">
              <a:shade val="100000"/>
              <a:lumMod val="100000"/>
              <a:satMod val="110000"/>
            </a:schemeClr>
          </a:gs>
          <a:gs pos="100000">
            <a:schemeClr val="phClr">
              <a:shade val="78000"/>
              <a:lumMod val="99000"/>
              <a:satMod val="120000"/>
            </a:schemeClr>
          </a:gs>
        </a:gsLst>
        <a:lin ang="5400000" scaled="0"/>
      </a:gradFill>
    </a:fillStyleLst>
    <a:lnStyleLst>
      <a:ln w="12700">
        <a:solidFill>
          <a:schemeClr val="phClr"/>
        </a:solidFill>
        <a:prstDash val="solid"/>
      </a:ln>
      <a:ln w="19050">
        <a:solidFill>
          <a:schemeClr val="phClr"/>
        </a:solidFill>
        <a:prstDash val="solid"/>
      </a:ln>
      <a:ln w="25400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>
        <a:gsLst>
          <a:gs pos="0">
            <a:schemeClr val="phClr">
              <a:tint val="93000"/>
              <a:shade val="98000"/>
              <a:lumMod val="102000"/>
              <a:satMod val="150000"/>
            </a:schemeClr>
          </a:gs>
          <a:gs pos="50000">
            <a:schemeClr val="phClr">
              <a:tint val="98000"/>
              <a:shade val="90000"/>
              <a:lumMod val="103000"/>
              <a:satMod val="130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11" sqref="B11"/>
    </sheetView>
  </sheetViews>
  <sheetFormatPr baseColWidth="10" defaultColWidth="8.83203125" defaultRowHeight="15"/>
  <cols>
    <col min="1" max="1" width="23" customWidth="1"/>
    <col min="2" max="2" width="100" customWidth="1"/>
  </cols>
  <sheetData>
    <row r="1" spans="1:8" ht="50.75" customHeight="1">
      <c r="A1" s="3" t="s">
        <v>0</v>
      </c>
      <c r="B1" s="3"/>
      <c r="C1" s="3"/>
      <c r="D1" s="3"/>
      <c r="E1" s="3"/>
      <c r="F1" s="3"/>
      <c r="G1" s="3"/>
      <c r="H1" s="3"/>
    </row>
    <row r="3" spans="1:8" ht="48" customHeight="1">
      <c r="A3" s="4" t="s">
        <v>1</v>
      </c>
      <c r="B3" s="5" t="s">
        <v>2</v>
      </c>
    </row>
    <row r="4" spans="1:8" ht="48" customHeight="1">
      <c r="A4" s="4" t="s">
        <v>3</v>
      </c>
      <c r="B4" s="5" t="s">
        <v>4</v>
      </c>
    </row>
    <row r="5" spans="1:8" ht="48" customHeight="1">
      <c r="A5" s="4" t="s">
        <v>5</v>
      </c>
      <c r="B5" s="5" t="s">
        <v>6</v>
      </c>
    </row>
    <row r="6" spans="1:8" ht="48" customHeight="1">
      <c r="A6" s="4" t="s">
        <v>7</v>
      </c>
      <c r="B6" s="5" t="s">
        <v>8</v>
      </c>
    </row>
    <row r="7" spans="1:8" ht="48" customHeight="1">
      <c r="A7" s="4" t="s">
        <v>9</v>
      </c>
      <c r="B7" s="5" t="s">
        <v>10</v>
      </c>
    </row>
    <row r="8" spans="1:8" ht="48" customHeight="1">
      <c r="A8" s="4" t="s">
        <v>11</v>
      </c>
      <c r="B8" s="5" t="s">
        <v>12</v>
      </c>
    </row>
    <row r="9" spans="1:8" ht="48" customHeight="1">
      <c r="A9" s="4" t="s">
        <v>13</v>
      </c>
      <c r="B9" s="5" t="s">
        <v>14</v>
      </c>
    </row>
    <row r="10" spans="1:8" ht="48" customHeight="1">
      <c r="A10" s="4" t="s">
        <v>15</v>
      </c>
      <c r="B10" s="5" t="s">
        <v>16</v>
      </c>
    </row>
    <row r="11" spans="1:8" ht="48" customHeight="1">
      <c r="A11" s="4" t="s">
        <v>17</v>
      </c>
      <c r="B11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6"/>
  <sheetViews>
    <sheetView showGridLines="0" tabSelected="1" zoomScaleNormal="100" workbookViewId="0">
      <selection activeCell="C83" sqref="C83"/>
    </sheetView>
  </sheetViews>
  <sheetFormatPr baseColWidth="10" defaultColWidth="8.83203125" defaultRowHeight="15"/>
  <cols>
    <col min="1" max="1" width="30" customWidth="1"/>
    <col min="2" max="2" width="23" customWidth="1"/>
    <col min="3" max="3" width="45.33203125" style="16" customWidth="1"/>
    <col min="4" max="4" width="21.1640625" style="16" customWidth="1"/>
    <col min="5" max="5" width="26.1640625" style="16" customWidth="1"/>
    <col min="6" max="6" width="16" style="16" customWidth="1"/>
    <col min="7" max="7" width="37.83203125" bestFit="1" customWidth="1"/>
    <col min="8" max="8" width="16" customWidth="1"/>
    <col min="26" max="26" width="5.33203125" customWidth="1"/>
  </cols>
  <sheetData>
    <row r="1" spans="1:26" ht="50.75" customHeight="1">
      <c r="A1" s="15" t="str">
        <f>_xlfn.CONCAT("WORKFORCE FORECASTING | EXECUTIVE DASHBOARD FOR PERIOD OF ",TEXT('Daily Forecast'!A2,"mm/dd/yyyy"), " - ", TEXT('Daily Forecast'!A15, "mm/dd/yyyy"))</f>
        <v>WORKFORCE FORECASTING | EXECUTIVE DASHBOARD FOR PERIOD OF 09/07/2026 - 09/20/2026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0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idden="1">
      <c r="A3" s="10" t="s">
        <v>19</v>
      </c>
      <c r="B3" s="10" t="s">
        <v>20</v>
      </c>
      <c r="D3" s="17" t="s">
        <v>19</v>
      </c>
      <c r="E3" s="17" t="s">
        <v>20</v>
      </c>
      <c r="G3" s="16"/>
    </row>
    <row r="4" spans="1:26" hidden="1">
      <c r="A4" t="s">
        <v>21</v>
      </c>
      <c r="B4">
        <f>SUM('Daily Forecast'!B2:B15)</f>
        <v>46826</v>
      </c>
      <c r="D4" s="18" t="s">
        <v>48</v>
      </c>
      <c r="E4" s="22">
        <f>SUM('Daily Forecast'!C2:C15)</f>
        <v>46348</v>
      </c>
      <c r="G4" s="20" t="str">
        <f>_xlfn.CONCAT(D4, CHAR(10), E4)</f>
        <v>Total Acutal Calls 
46348</v>
      </c>
    </row>
    <row r="5" spans="1:26" hidden="1">
      <c r="A5" t="s">
        <v>22</v>
      </c>
      <c r="B5">
        <f>SUM('Daily Forecast'!C2:C15)</f>
        <v>46348</v>
      </c>
      <c r="D5" s="18" t="s">
        <v>49</v>
      </c>
      <c r="E5" s="19">
        <f>(SUM('Daily Forecast'!C2:C15)-SUM('Daily Forecast'!B2:B15))/SUM('Daily Forecast'!B2:B15)</f>
        <v>-1.0208004100286166E-2</v>
      </c>
      <c r="G5" s="21" t="str">
        <f>_xlfn.CONCAT(D5,CHAR(10),TEXT(E5,"0.01%"))</f>
        <v>Forecast Variance 
-1.01%</v>
      </c>
    </row>
    <row r="6" spans="1:26" hidden="1">
      <c r="A6" t="s">
        <v>23</v>
      </c>
      <c r="B6" s="8">
        <f>IFERROR(1-SUM('Daily Forecast'!E2:E15)/B5,0)</f>
        <v>0.98494001898679551</v>
      </c>
      <c r="D6" s="18" t="s">
        <v>51</v>
      </c>
      <c r="E6" s="18">
        <f>'Daily Forecast'!H16</f>
        <v>97</v>
      </c>
      <c r="G6" s="20" t="str">
        <f>_xlfn.CONCAT(D6, CHAR(10), E6)</f>
        <v>Peak Staff Needed 
97</v>
      </c>
    </row>
    <row r="7" spans="1:26" hidden="1">
      <c r="A7" t="s">
        <v>24</v>
      </c>
      <c r="B7" s="9">
        <f>AVERAGE('Daily Forecast'!G2:G15)</f>
        <v>56.696428571428555</v>
      </c>
      <c r="D7" s="18" t="s">
        <v>52</v>
      </c>
      <c r="E7" s="19" cm="1">
        <f t="array" ref="E7">1-(SUMPRODUCT(ABS('Daily Forecast'!C2:C15-'Daily Forecast'!B2:B15))/SUM('Daily Forecast'!C2:C15))</f>
        <v>0.98494001898679551</v>
      </c>
      <c r="G7" s="20" t="str">
        <f>_xlfn.CONCAT(D7, CHAR(10), TEXT(E7,"0.01%"))</f>
        <v>Forecast Accuracy (1-WAPE)
98.51%</v>
      </c>
    </row>
    <row r="8" spans="1:26" hidden="1"/>
    <row r="9" spans="1:26" ht="49" customHeight="1">
      <c r="A9" s="23" t="s">
        <v>25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79" spans="1:2">
      <c r="A79" s="24" t="s">
        <v>38</v>
      </c>
      <c r="B79" s="24" t="s">
        <v>39</v>
      </c>
    </row>
    <row r="80" spans="1:2">
      <c r="A80" s="25" t="s">
        <v>40</v>
      </c>
      <c r="B80" s="25">
        <v>360</v>
      </c>
    </row>
    <row r="81" spans="1:2">
      <c r="A81" s="25" t="s">
        <v>41</v>
      </c>
      <c r="B81" s="26">
        <v>0.85</v>
      </c>
    </row>
    <row r="82" spans="1:2">
      <c r="A82" s="25" t="s">
        <v>42</v>
      </c>
      <c r="B82" s="26">
        <v>0.3</v>
      </c>
    </row>
    <row r="83" spans="1:2">
      <c r="A83" s="25" t="s">
        <v>43</v>
      </c>
      <c r="B83" s="25">
        <v>30</v>
      </c>
    </row>
    <row r="84" spans="1:2">
      <c r="A84" s="25" t="s">
        <v>44</v>
      </c>
      <c r="B84" s="25">
        <v>10</v>
      </c>
    </row>
    <row r="85" spans="1:2">
      <c r="A85" s="25" t="s">
        <v>45</v>
      </c>
      <c r="B85" s="25">
        <v>14</v>
      </c>
    </row>
    <row r="86" spans="1:2">
      <c r="A86" s="25" t="s">
        <v>46</v>
      </c>
      <c r="B86" s="25" t="s">
        <v>47</v>
      </c>
    </row>
  </sheetData>
  <mergeCells count="2">
    <mergeCell ref="A1:Z2"/>
    <mergeCell ref="A9:Z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="144" zoomScaleNormal="144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/>
  <cols>
    <col min="1" max="8" width="21" customWidth="1"/>
  </cols>
  <sheetData>
    <row r="1" spans="1:8" ht="30" customHeight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>
      <c r="A2" s="6">
        <f>'30-Min Intervals'!A2</f>
        <v>46272</v>
      </c>
      <c r="B2">
        <f>SUM('30-Min Intervals'!C2:C21)</f>
        <v>3270</v>
      </c>
      <c r="C2">
        <f>SUM('30-Min Intervals'!D2:D21)</f>
        <v>3299</v>
      </c>
      <c r="D2">
        <f t="shared" ref="D2:D16" si="0">C2-B2</f>
        <v>29</v>
      </c>
      <c r="E2">
        <f t="shared" ref="E2:E14" si="1">ABS(D2)</f>
        <v>29</v>
      </c>
      <c r="F2" s="8">
        <f t="shared" ref="F2:F14" si="2">IFERROR(1-E2/C2,0)</f>
        <v>0.99120945741133681</v>
      </c>
      <c r="G2" s="13">
        <f>AVERAGE('30-Min Intervals'!I2:I21)</f>
        <v>55.35</v>
      </c>
      <c r="H2">
        <f>MAX('30-Min Intervals'!I2:I21)</f>
        <v>85</v>
      </c>
    </row>
    <row r="3" spans="1:8">
      <c r="A3" s="6">
        <f>'30-Min Intervals'!A22</f>
        <v>46273</v>
      </c>
      <c r="B3">
        <f>SUM('30-Min Intervals'!C22:C41)</f>
        <v>3475</v>
      </c>
      <c r="C3">
        <f>SUM('30-Min Intervals'!D22:D41)</f>
        <v>3460</v>
      </c>
      <c r="D3">
        <f t="shared" si="0"/>
        <v>-15</v>
      </c>
      <c r="E3">
        <f t="shared" si="1"/>
        <v>15</v>
      </c>
      <c r="F3" s="8">
        <f t="shared" si="2"/>
        <v>0.99566473988439308</v>
      </c>
      <c r="G3" s="13">
        <f>AVERAGE('30-Min Intervals'!I22:I41)</f>
        <v>58.85</v>
      </c>
      <c r="H3">
        <f>MAX('30-Min Intervals'!I22:I41)</f>
        <v>86</v>
      </c>
    </row>
    <row r="4" spans="1:8">
      <c r="A4" s="6">
        <f>'30-Min Intervals'!A42</f>
        <v>46274</v>
      </c>
      <c r="B4">
        <f>SUM('30-Min Intervals'!C42:C61)</f>
        <v>3638</v>
      </c>
      <c r="C4">
        <f>SUM('30-Min Intervals'!D42:D61)</f>
        <v>3627</v>
      </c>
      <c r="D4">
        <f t="shared" si="0"/>
        <v>-11</v>
      </c>
      <c r="E4">
        <f t="shared" si="1"/>
        <v>11</v>
      </c>
      <c r="F4" s="8">
        <f t="shared" si="2"/>
        <v>0.99696719051557758</v>
      </c>
      <c r="G4" s="13">
        <f>AVERAGE('30-Min Intervals'!I42:I61)</f>
        <v>61.6</v>
      </c>
      <c r="H4">
        <f>MAX('30-Min Intervals'!I42:I61)</f>
        <v>88</v>
      </c>
    </row>
    <row r="5" spans="1:8">
      <c r="A5" s="6">
        <f>'30-Min Intervals'!A62</f>
        <v>46275</v>
      </c>
      <c r="B5">
        <f>SUM('30-Min Intervals'!C62:C81)</f>
        <v>3562</v>
      </c>
      <c r="C5">
        <f>SUM('30-Min Intervals'!D62:D81)</f>
        <v>3471</v>
      </c>
      <c r="D5">
        <f t="shared" si="0"/>
        <v>-91</v>
      </c>
      <c r="E5">
        <f t="shared" si="1"/>
        <v>91</v>
      </c>
      <c r="F5" s="8">
        <f t="shared" si="2"/>
        <v>0.97378277153558057</v>
      </c>
      <c r="G5" s="13">
        <f>AVERAGE('30-Min Intervals'!I62:I81)</f>
        <v>60.35</v>
      </c>
      <c r="H5">
        <f>MAX('30-Min Intervals'!I62:I81)</f>
        <v>87</v>
      </c>
    </row>
    <row r="6" spans="1:8">
      <c r="A6" s="6">
        <f>'30-Min Intervals'!A82</f>
        <v>46276</v>
      </c>
      <c r="B6">
        <f>SUM('30-Min Intervals'!C82:C101)</f>
        <v>3340</v>
      </c>
      <c r="C6">
        <f>SUM('30-Min Intervals'!D82:D101)</f>
        <v>3273</v>
      </c>
      <c r="D6">
        <f t="shared" si="0"/>
        <v>-67</v>
      </c>
      <c r="E6">
        <f t="shared" si="1"/>
        <v>67</v>
      </c>
      <c r="F6" s="8">
        <f t="shared" si="2"/>
        <v>0.97952948365413994</v>
      </c>
      <c r="G6" s="13">
        <f>AVERAGE('30-Min Intervals'!I82:I101)</f>
        <v>56.65</v>
      </c>
      <c r="H6">
        <f>MAX('30-Min Intervals'!I82:I101)</f>
        <v>85</v>
      </c>
    </row>
    <row r="7" spans="1:8">
      <c r="A7" s="6">
        <f>'30-Min Intervals'!A102</f>
        <v>46277</v>
      </c>
      <c r="B7">
        <f>SUM('30-Min Intervals'!C102:C121)</f>
        <v>2842</v>
      </c>
      <c r="C7">
        <f>SUM('30-Min Intervals'!D102:D121)</f>
        <v>2786</v>
      </c>
      <c r="D7">
        <f t="shared" si="0"/>
        <v>-56</v>
      </c>
      <c r="E7">
        <f t="shared" si="1"/>
        <v>56</v>
      </c>
      <c r="F7" s="8">
        <f t="shared" si="2"/>
        <v>0.97989949748743721</v>
      </c>
      <c r="G7" s="13">
        <f>AVERAGE('30-Min Intervals'!I102:I121)</f>
        <v>48.2</v>
      </c>
      <c r="H7">
        <f>MAX('30-Min Intervals'!I102:I121)</f>
        <v>70</v>
      </c>
    </row>
    <row r="8" spans="1:8">
      <c r="A8" s="6">
        <f>'30-Min Intervals'!A122</f>
        <v>46278</v>
      </c>
      <c r="B8">
        <f>SUM('30-Min Intervals'!C122:C141)</f>
        <v>2758</v>
      </c>
      <c r="C8">
        <f>SUM('30-Min Intervals'!D122:D141)</f>
        <v>2786</v>
      </c>
      <c r="D8">
        <f t="shared" si="0"/>
        <v>28</v>
      </c>
      <c r="E8">
        <f t="shared" si="1"/>
        <v>28</v>
      </c>
      <c r="F8" s="8">
        <f t="shared" si="2"/>
        <v>0.98994974874371855</v>
      </c>
      <c r="G8" s="13">
        <f>AVERAGE('30-Min Intervals'!I122:I141)</f>
        <v>46.9</v>
      </c>
      <c r="H8">
        <f>MAX('30-Min Intervals'!I122:I141)</f>
        <v>69</v>
      </c>
    </row>
    <row r="9" spans="1:8">
      <c r="A9" s="6">
        <f>'30-Min Intervals'!A142</f>
        <v>46279</v>
      </c>
      <c r="B9">
        <f>SUM('30-Min Intervals'!C142:C161)</f>
        <v>3380</v>
      </c>
      <c r="C9">
        <f>SUM('30-Min Intervals'!D142:D161)</f>
        <v>3332</v>
      </c>
      <c r="D9">
        <f t="shared" si="0"/>
        <v>-48</v>
      </c>
      <c r="E9">
        <f t="shared" si="1"/>
        <v>48</v>
      </c>
      <c r="F9" s="8">
        <f t="shared" si="2"/>
        <v>0.98559423769507803</v>
      </c>
      <c r="G9" s="13">
        <f>AVERAGE('30-Min Intervals'!I142:I161)</f>
        <v>57.4</v>
      </c>
      <c r="H9">
        <f>MAX('30-Min Intervals'!I142:I161)</f>
        <v>83</v>
      </c>
    </row>
    <row r="10" spans="1:8">
      <c r="A10" s="6">
        <f>'30-Min Intervals'!A162</f>
        <v>46280</v>
      </c>
      <c r="B10">
        <f>SUM('30-Min Intervals'!C162:C181)</f>
        <v>3659</v>
      </c>
      <c r="C10">
        <f>SUM('30-Min Intervals'!D162:D181)</f>
        <v>3712</v>
      </c>
      <c r="D10">
        <f t="shared" si="0"/>
        <v>53</v>
      </c>
      <c r="E10">
        <f t="shared" si="1"/>
        <v>53</v>
      </c>
      <c r="F10" s="8">
        <f t="shared" si="2"/>
        <v>0.98572198275862066</v>
      </c>
      <c r="G10" s="13">
        <f>AVERAGE('30-Min Intervals'!I162:I181)</f>
        <v>62</v>
      </c>
      <c r="H10">
        <f>MAX('30-Min Intervals'!I162:I181)</f>
        <v>89</v>
      </c>
    </row>
    <row r="11" spans="1:8">
      <c r="A11" s="6">
        <f>'30-Min Intervals'!A182</f>
        <v>46281</v>
      </c>
      <c r="B11">
        <f>SUM('30-Min Intervals'!C182:C201)</f>
        <v>3797</v>
      </c>
      <c r="C11">
        <f>SUM('30-Min Intervals'!D182:D201)</f>
        <v>3758</v>
      </c>
      <c r="D11">
        <f t="shared" si="0"/>
        <v>-39</v>
      </c>
      <c r="E11">
        <f t="shared" si="1"/>
        <v>39</v>
      </c>
      <c r="F11" s="8">
        <f t="shared" si="2"/>
        <v>0.98962213943587019</v>
      </c>
      <c r="G11" s="13">
        <f>AVERAGE('30-Min Intervals'!I182:I201)</f>
        <v>64.3</v>
      </c>
      <c r="H11">
        <f>MAX('30-Min Intervals'!I182:I201)</f>
        <v>96</v>
      </c>
    </row>
    <row r="12" spans="1:8">
      <c r="A12" s="6">
        <f>'30-Min Intervals'!A202</f>
        <v>46282</v>
      </c>
      <c r="B12">
        <f>SUM('30-Min Intervals'!C202:C221)</f>
        <v>3719</v>
      </c>
      <c r="C12">
        <f>SUM('30-Min Intervals'!D202:D221)</f>
        <v>3685</v>
      </c>
      <c r="D12">
        <f t="shared" si="0"/>
        <v>-34</v>
      </c>
      <c r="E12">
        <f t="shared" si="1"/>
        <v>34</v>
      </c>
      <c r="F12" s="8">
        <f t="shared" si="2"/>
        <v>0.99077340569877881</v>
      </c>
      <c r="G12" s="13">
        <f>AVERAGE('30-Min Intervals'!I202:I221)</f>
        <v>63.05</v>
      </c>
      <c r="H12">
        <f>MAX('30-Min Intervals'!I202:I221)</f>
        <v>97</v>
      </c>
    </row>
    <row r="13" spans="1:8">
      <c r="A13" s="6">
        <f>'30-Min Intervals'!A222</f>
        <v>46283</v>
      </c>
      <c r="B13">
        <f>SUM('30-Min Intervals'!C222:C241)</f>
        <v>3487</v>
      </c>
      <c r="C13">
        <f>SUM('30-Min Intervals'!D222:D241)</f>
        <v>3410</v>
      </c>
      <c r="D13">
        <f t="shared" si="0"/>
        <v>-77</v>
      </c>
      <c r="E13">
        <f t="shared" si="1"/>
        <v>77</v>
      </c>
      <c r="F13" s="8">
        <f t="shared" si="2"/>
        <v>0.97741935483870968</v>
      </c>
      <c r="G13" s="13">
        <f>AVERAGE('30-Min Intervals'!I222:I241)</f>
        <v>59</v>
      </c>
      <c r="H13">
        <f>MAX('30-Min Intervals'!I222:I241)</f>
        <v>87</v>
      </c>
    </row>
    <row r="14" spans="1:8">
      <c r="A14" s="6">
        <f>'30-Min Intervals'!A242</f>
        <v>46284</v>
      </c>
      <c r="B14">
        <f>SUM('30-Min Intervals'!C242:C261)</f>
        <v>2983</v>
      </c>
      <c r="C14">
        <f>SUM('30-Min Intervals'!D242:D261)</f>
        <v>2889</v>
      </c>
      <c r="D14">
        <f t="shared" si="0"/>
        <v>-94</v>
      </c>
      <c r="E14">
        <f t="shared" si="1"/>
        <v>94</v>
      </c>
      <c r="F14" s="8">
        <f t="shared" si="2"/>
        <v>0.96746278989269641</v>
      </c>
      <c r="G14" s="13">
        <f>AVERAGE('30-Min Intervals'!I242:I261)</f>
        <v>50.55</v>
      </c>
      <c r="H14">
        <f>MAX('30-Min Intervals'!I242:I261)</f>
        <v>77</v>
      </c>
    </row>
    <row r="15" spans="1:8">
      <c r="A15" s="6">
        <f>'30-Min Intervals'!A262</f>
        <v>46285</v>
      </c>
      <c r="B15">
        <f>SUM('30-Min Intervals'!C262:C281)</f>
        <v>2916</v>
      </c>
      <c r="C15">
        <f>SUM('30-Min Intervals'!D262:D281)</f>
        <v>2860</v>
      </c>
      <c r="D15">
        <f t="shared" si="0"/>
        <v>-56</v>
      </c>
      <c r="E15">
        <f>ABS(D15)</f>
        <v>56</v>
      </c>
      <c r="F15" s="8">
        <f>IFERROR(1-E15/C15,0)</f>
        <v>0.98041958041958044</v>
      </c>
      <c r="G15" s="13">
        <f>AVERAGE('30-Min Intervals'!I262:I281)</f>
        <v>49.55</v>
      </c>
      <c r="H15">
        <f>MAX('30-Min Intervals'!I262:I281)</f>
        <v>72</v>
      </c>
    </row>
    <row r="16" spans="1:8">
      <c r="A16" s="11" t="s">
        <v>50</v>
      </c>
      <c r="B16" s="11">
        <f>SUM(B2:B15)</f>
        <v>46826</v>
      </c>
      <c r="C16" s="11">
        <f>SUM(C2:C15)</f>
        <v>46348</v>
      </c>
      <c r="D16" s="11">
        <f t="shared" si="0"/>
        <v>-478</v>
      </c>
      <c r="E16" s="11">
        <f>ABS(D16)</f>
        <v>478</v>
      </c>
      <c r="F16" s="12">
        <f>IFERROR(1-E16/C16,0)</f>
        <v>0.98968671787347895</v>
      </c>
      <c r="G16" s="14">
        <f>AVERAGE('30-Min Intervals'!I263:I282)</f>
        <v>50.94736842105263</v>
      </c>
      <c r="H16" s="11">
        <f>MAX(H2:H15)</f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1"/>
  <sheetViews>
    <sheetView workbookViewId="0">
      <pane ySplit="1" topLeftCell="A211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21" customWidth="1"/>
    <col min="3" max="7" width="18" customWidth="1"/>
    <col min="8" max="10" width="21" customWidth="1"/>
  </cols>
  <sheetData>
    <row r="1" spans="1:10" ht="30" customHeight="1">
      <c r="A1" s="2" t="s">
        <v>26</v>
      </c>
      <c r="B1" s="2" t="s">
        <v>34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35</v>
      </c>
      <c r="I1" s="2" t="s">
        <v>36</v>
      </c>
      <c r="J1" s="2" t="s">
        <v>37</v>
      </c>
    </row>
    <row r="2" spans="1:10">
      <c r="A2" s="6">
        <v>46272</v>
      </c>
      <c r="B2" s="7">
        <v>46272.333333333336</v>
      </c>
      <c r="C2">
        <v>77</v>
      </c>
      <c r="D2">
        <v>72</v>
      </c>
      <c r="E2">
        <f t="shared" ref="E2:E65" si="0">D2-C2</f>
        <v>-5</v>
      </c>
      <c r="F2">
        <f t="shared" ref="F2:F65" si="1">ABS(E2)</f>
        <v>5</v>
      </c>
      <c r="G2" s="8">
        <f t="shared" ref="G2:G65" si="2">IFERROR(1-F2/D2,0)</f>
        <v>0.93055555555555558</v>
      </c>
      <c r="H2" s="9">
        <f>C2*Assumptions!$B$2/(Assumptions!$B$5*60*Assumptions!$B$3)</f>
        <v>18.117647058823529</v>
      </c>
      <c r="I2">
        <f>ROUNDUP(H2/(1-Assumptions!$B$4),0)</f>
        <v>26</v>
      </c>
      <c r="J2" s="9">
        <f>D2*Assumptions!$B$2/(Assumptions!$B$5*60*Assumptions!$B$3)</f>
        <v>16.941176470588236</v>
      </c>
    </row>
    <row r="3" spans="1:10">
      <c r="A3" s="6">
        <v>46272</v>
      </c>
      <c r="B3" s="7">
        <v>46272.354166666664</v>
      </c>
      <c r="C3">
        <v>103</v>
      </c>
      <c r="D3">
        <v>105</v>
      </c>
      <c r="E3">
        <f t="shared" si="0"/>
        <v>2</v>
      </c>
      <c r="F3">
        <f t="shared" si="1"/>
        <v>2</v>
      </c>
      <c r="G3" s="8">
        <f t="shared" si="2"/>
        <v>0.98095238095238091</v>
      </c>
      <c r="H3" s="9">
        <f>C3*Assumptions!$B$2/(Assumptions!$B$5*60*Assumptions!$B$3)</f>
        <v>24.235294117647058</v>
      </c>
      <c r="I3">
        <f>ROUNDUP(H3/(1-Assumptions!$B$4),0)</f>
        <v>35</v>
      </c>
      <c r="J3" s="9">
        <f>D3*Assumptions!$B$2/(Assumptions!$B$5*60*Assumptions!$B$3)</f>
        <v>24.705882352941178</v>
      </c>
    </row>
    <row r="4" spans="1:10">
      <c r="A4" s="6">
        <v>46272</v>
      </c>
      <c r="B4" s="7">
        <v>46272.375</v>
      </c>
      <c r="C4">
        <v>130</v>
      </c>
      <c r="D4">
        <v>139</v>
      </c>
      <c r="E4">
        <f t="shared" si="0"/>
        <v>9</v>
      </c>
      <c r="F4">
        <f t="shared" si="1"/>
        <v>9</v>
      </c>
      <c r="G4" s="8">
        <f t="shared" si="2"/>
        <v>0.93525179856115104</v>
      </c>
      <c r="H4" s="9">
        <f>C4*Assumptions!$B$2/(Assumptions!$B$5*60*Assumptions!$B$3)</f>
        <v>30.588235294117649</v>
      </c>
      <c r="I4">
        <f>ROUNDUP(H4/(1-Assumptions!$B$4),0)</f>
        <v>44</v>
      </c>
      <c r="J4" s="9">
        <f>D4*Assumptions!$B$2/(Assumptions!$B$5*60*Assumptions!$B$3)</f>
        <v>32.705882352941174</v>
      </c>
    </row>
    <row r="5" spans="1:10">
      <c r="A5" s="6">
        <v>46272</v>
      </c>
      <c r="B5" s="7">
        <v>46272.395833333336</v>
      </c>
      <c r="C5">
        <v>169</v>
      </c>
      <c r="D5">
        <v>150</v>
      </c>
      <c r="E5">
        <f t="shared" si="0"/>
        <v>-19</v>
      </c>
      <c r="F5">
        <f t="shared" si="1"/>
        <v>19</v>
      </c>
      <c r="G5" s="8">
        <f t="shared" si="2"/>
        <v>0.87333333333333329</v>
      </c>
      <c r="H5" s="9">
        <f>C5*Assumptions!$B$2/(Assumptions!$B$5*60*Assumptions!$B$3)</f>
        <v>39.764705882352942</v>
      </c>
      <c r="I5">
        <f>ROUNDUP(H5/(1-Assumptions!$B$4),0)</f>
        <v>57</v>
      </c>
      <c r="J5" s="9">
        <f>D5*Assumptions!$B$2/(Assumptions!$B$5*60*Assumptions!$B$3)</f>
        <v>35.294117647058826</v>
      </c>
    </row>
    <row r="6" spans="1:10">
      <c r="A6" s="6">
        <v>46272</v>
      </c>
      <c r="B6" s="7">
        <v>46272.416666666664</v>
      </c>
      <c r="C6">
        <v>199</v>
      </c>
      <c r="D6">
        <v>199</v>
      </c>
      <c r="E6">
        <f t="shared" si="0"/>
        <v>0</v>
      </c>
      <c r="F6">
        <f t="shared" si="1"/>
        <v>0</v>
      </c>
      <c r="G6" s="8">
        <f t="shared" si="2"/>
        <v>1</v>
      </c>
      <c r="H6" s="9">
        <f>C6*Assumptions!$B$2/(Assumptions!$B$5*60*Assumptions!$B$3)</f>
        <v>46.823529411764703</v>
      </c>
      <c r="I6">
        <f>ROUNDUP(H6/(1-Assumptions!$B$4),0)</f>
        <v>67</v>
      </c>
      <c r="J6" s="9">
        <f>D6*Assumptions!$B$2/(Assumptions!$B$5*60*Assumptions!$B$3)</f>
        <v>46.823529411764703</v>
      </c>
    </row>
    <row r="7" spans="1:10">
      <c r="A7" s="6">
        <v>46272</v>
      </c>
      <c r="B7" s="7">
        <v>46272.4375</v>
      </c>
      <c r="C7">
        <v>228</v>
      </c>
      <c r="D7">
        <v>253</v>
      </c>
      <c r="E7">
        <f t="shared" si="0"/>
        <v>25</v>
      </c>
      <c r="F7">
        <f t="shared" si="1"/>
        <v>25</v>
      </c>
      <c r="G7" s="8">
        <f t="shared" si="2"/>
        <v>0.90118577075098816</v>
      </c>
      <c r="H7" s="9">
        <f>C7*Assumptions!$B$2/(Assumptions!$B$5*60*Assumptions!$B$3)</f>
        <v>53.647058823529413</v>
      </c>
      <c r="I7">
        <f>ROUNDUP(H7/(1-Assumptions!$B$4),0)</f>
        <v>77</v>
      </c>
      <c r="J7" s="9">
        <f>D7*Assumptions!$B$2/(Assumptions!$B$5*60*Assumptions!$B$3)</f>
        <v>59.529411764705884</v>
      </c>
    </row>
    <row r="8" spans="1:10">
      <c r="A8" s="6">
        <v>46272</v>
      </c>
      <c r="B8" s="7">
        <v>46272.458333333336</v>
      </c>
      <c r="C8">
        <v>251</v>
      </c>
      <c r="D8">
        <v>246</v>
      </c>
      <c r="E8">
        <f t="shared" si="0"/>
        <v>-5</v>
      </c>
      <c r="F8">
        <f t="shared" si="1"/>
        <v>5</v>
      </c>
      <c r="G8" s="8">
        <f t="shared" si="2"/>
        <v>0.97967479674796754</v>
      </c>
      <c r="H8" s="9">
        <f>C8*Assumptions!$B$2/(Assumptions!$B$5*60*Assumptions!$B$3)</f>
        <v>59.058823529411768</v>
      </c>
      <c r="I8">
        <f>ROUNDUP(H8/(1-Assumptions!$B$4),0)</f>
        <v>85</v>
      </c>
      <c r="J8" s="9">
        <f>D8*Assumptions!$B$2/(Assumptions!$B$5*60*Assumptions!$B$3)</f>
        <v>57.882352941176471</v>
      </c>
    </row>
    <row r="9" spans="1:10">
      <c r="A9" s="6">
        <v>46272</v>
      </c>
      <c r="B9" s="7">
        <v>46272.479166666664</v>
      </c>
      <c r="C9">
        <v>233</v>
      </c>
      <c r="D9">
        <v>249</v>
      </c>
      <c r="E9">
        <f t="shared" si="0"/>
        <v>16</v>
      </c>
      <c r="F9">
        <f t="shared" si="1"/>
        <v>16</v>
      </c>
      <c r="G9" s="8">
        <f t="shared" si="2"/>
        <v>0.93574297188755018</v>
      </c>
      <c r="H9" s="9">
        <f>C9*Assumptions!$B$2/(Assumptions!$B$5*60*Assumptions!$B$3)</f>
        <v>54.823529411764703</v>
      </c>
      <c r="I9">
        <f>ROUNDUP(H9/(1-Assumptions!$B$4),0)</f>
        <v>79</v>
      </c>
      <c r="J9" s="9">
        <f>D9*Assumptions!$B$2/(Assumptions!$B$5*60*Assumptions!$B$3)</f>
        <v>58.588235294117645</v>
      </c>
    </row>
    <row r="10" spans="1:10">
      <c r="A10" s="6">
        <v>46272</v>
      </c>
      <c r="B10" s="7">
        <v>46272.5</v>
      </c>
      <c r="C10">
        <v>220</v>
      </c>
      <c r="D10">
        <v>195</v>
      </c>
      <c r="E10">
        <f t="shared" si="0"/>
        <v>-25</v>
      </c>
      <c r="F10">
        <f t="shared" si="1"/>
        <v>25</v>
      </c>
      <c r="G10" s="8">
        <f t="shared" si="2"/>
        <v>0.87179487179487181</v>
      </c>
      <c r="H10" s="9">
        <f>C10*Assumptions!$B$2/(Assumptions!$B$5*60*Assumptions!$B$3)</f>
        <v>51.764705882352942</v>
      </c>
      <c r="I10">
        <f>ROUNDUP(H10/(1-Assumptions!$B$4),0)</f>
        <v>74</v>
      </c>
      <c r="J10" s="9">
        <f>D10*Assumptions!$B$2/(Assumptions!$B$5*60*Assumptions!$B$3)</f>
        <v>45.882352941176471</v>
      </c>
    </row>
    <row r="11" spans="1:10">
      <c r="A11" s="6">
        <v>46272</v>
      </c>
      <c r="B11" s="7">
        <v>46272.520833333336</v>
      </c>
      <c r="C11">
        <v>188</v>
      </c>
      <c r="D11">
        <v>175</v>
      </c>
      <c r="E11">
        <f t="shared" si="0"/>
        <v>-13</v>
      </c>
      <c r="F11">
        <f t="shared" si="1"/>
        <v>13</v>
      </c>
      <c r="G11" s="8">
        <f t="shared" si="2"/>
        <v>0.92571428571428571</v>
      </c>
      <c r="H11" s="9">
        <f>C11*Assumptions!$B$2/(Assumptions!$B$5*60*Assumptions!$B$3)</f>
        <v>44.235294117647058</v>
      </c>
      <c r="I11">
        <f>ROUNDUP(H11/(1-Assumptions!$B$4),0)</f>
        <v>64</v>
      </c>
      <c r="J11" s="9">
        <f>D11*Assumptions!$B$2/(Assumptions!$B$5*60*Assumptions!$B$3)</f>
        <v>41.176470588235297</v>
      </c>
    </row>
    <row r="12" spans="1:10">
      <c r="A12" s="6">
        <v>46272</v>
      </c>
      <c r="B12" s="7">
        <v>46272.541666666664</v>
      </c>
      <c r="C12">
        <v>160</v>
      </c>
      <c r="D12">
        <v>164</v>
      </c>
      <c r="E12">
        <f t="shared" si="0"/>
        <v>4</v>
      </c>
      <c r="F12">
        <f t="shared" si="1"/>
        <v>4</v>
      </c>
      <c r="G12" s="8">
        <f t="shared" si="2"/>
        <v>0.97560975609756095</v>
      </c>
      <c r="H12" s="9">
        <f>C12*Assumptions!$B$2/(Assumptions!$B$5*60*Assumptions!$B$3)</f>
        <v>37.647058823529413</v>
      </c>
      <c r="I12">
        <f>ROUNDUP(H12/(1-Assumptions!$B$4),0)</f>
        <v>54</v>
      </c>
      <c r="J12" s="9">
        <f>D12*Assumptions!$B$2/(Assumptions!$B$5*60*Assumptions!$B$3)</f>
        <v>38.588235294117645</v>
      </c>
    </row>
    <row r="13" spans="1:10">
      <c r="A13" s="6">
        <v>46272</v>
      </c>
      <c r="B13" s="7">
        <v>46272.5625</v>
      </c>
      <c r="C13">
        <v>171</v>
      </c>
      <c r="D13">
        <v>190</v>
      </c>
      <c r="E13">
        <f t="shared" si="0"/>
        <v>19</v>
      </c>
      <c r="F13">
        <f t="shared" si="1"/>
        <v>19</v>
      </c>
      <c r="G13" s="8">
        <f t="shared" si="2"/>
        <v>0.9</v>
      </c>
      <c r="H13" s="9">
        <f>C13*Assumptions!$B$2/(Assumptions!$B$5*60*Assumptions!$B$3)</f>
        <v>40.235294117647058</v>
      </c>
      <c r="I13">
        <f>ROUNDUP(H13/(1-Assumptions!$B$4),0)</f>
        <v>58</v>
      </c>
      <c r="J13" s="9">
        <f>D13*Assumptions!$B$2/(Assumptions!$B$5*60*Assumptions!$B$3)</f>
        <v>44.705882352941174</v>
      </c>
    </row>
    <row r="14" spans="1:10">
      <c r="A14" s="6">
        <v>46272</v>
      </c>
      <c r="B14" s="7">
        <v>46272.583333333336</v>
      </c>
      <c r="C14">
        <v>178</v>
      </c>
      <c r="D14">
        <v>192</v>
      </c>
      <c r="E14">
        <f t="shared" si="0"/>
        <v>14</v>
      </c>
      <c r="F14">
        <f t="shared" si="1"/>
        <v>14</v>
      </c>
      <c r="G14" s="8">
        <f t="shared" si="2"/>
        <v>0.92708333333333337</v>
      </c>
      <c r="H14" s="9">
        <f>C14*Assumptions!$B$2/(Assumptions!$B$5*60*Assumptions!$B$3)</f>
        <v>41.882352941176471</v>
      </c>
      <c r="I14">
        <f>ROUNDUP(H14/(1-Assumptions!$B$4),0)</f>
        <v>60</v>
      </c>
      <c r="J14" s="9">
        <f>D14*Assumptions!$B$2/(Assumptions!$B$5*60*Assumptions!$B$3)</f>
        <v>45.176470588235297</v>
      </c>
    </row>
    <row r="15" spans="1:10">
      <c r="A15" s="6">
        <v>46272</v>
      </c>
      <c r="B15" s="7">
        <v>46272.604166666664</v>
      </c>
      <c r="C15">
        <v>173</v>
      </c>
      <c r="D15">
        <v>192</v>
      </c>
      <c r="E15">
        <f t="shared" si="0"/>
        <v>19</v>
      </c>
      <c r="F15">
        <f t="shared" si="1"/>
        <v>19</v>
      </c>
      <c r="G15" s="8">
        <f t="shared" si="2"/>
        <v>0.90104166666666663</v>
      </c>
      <c r="H15" s="9">
        <f>C15*Assumptions!$B$2/(Assumptions!$B$5*60*Assumptions!$B$3)</f>
        <v>40.705882352941174</v>
      </c>
      <c r="I15">
        <f>ROUNDUP(H15/(1-Assumptions!$B$4),0)</f>
        <v>59</v>
      </c>
      <c r="J15" s="9">
        <f>D15*Assumptions!$B$2/(Assumptions!$B$5*60*Assumptions!$B$3)</f>
        <v>45.176470588235297</v>
      </c>
    </row>
    <row r="16" spans="1:10">
      <c r="A16" s="6">
        <v>46272</v>
      </c>
      <c r="B16" s="7">
        <v>46272.625</v>
      </c>
      <c r="C16">
        <v>162</v>
      </c>
      <c r="D16">
        <v>164</v>
      </c>
      <c r="E16">
        <f t="shared" si="0"/>
        <v>2</v>
      </c>
      <c r="F16">
        <f t="shared" si="1"/>
        <v>2</v>
      </c>
      <c r="G16" s="8">
        <f t="shared" si="2"/>
        <v>0.98780487804878048</v>
      </c>
      <c r="H16" s="9">
        <f>C16*Assumptions!$B$2/(Assumptions!$B$5*60*Assumptions!$B$3)</f>
        <v>38.117647058823529</v>
      </c>
      <c r="I16">
        <f>ROUNDUP(H16/(1-Assumptions!$B$4),0)</f>
        <v>55</v>
      </c>
      <c r="J16" s="9">
        <f>D16*Assumptions!$B$2/(Assumptions!$B$5*60*Assumptions!$B$3)</f>
        <v>38.588235294117645</v>
      </c>
    </row>
    <row r="17" spans="1:10">
      <c r="A17" s="6">
        <v>46272</v>
      </c>
      <c r="B17" s="7">
        <v>46272.645833333336</v>
      </c>
      <c r="C17">
        <v>145</v>
      </c>
      <c r="D17">
        <v>129</v>
      </c>
      <c r="E17">
        <f t="shared" si="0"/>
        <v>-16</v>
      </c>
      <c r="F17">
        <f t="shared" si="1"/>
        <v>16</v>
      </c>
      <c r="G17" s="8">
        <f t="shared" si="2"/>
        <v>0.87596899224806202</v>
      </c>
      <c r="H17" s="9">
        <f>C17*Assumptions!$B$2/(Assumptions!$B$5*60*Assumptions!$B$3)</f>
        <v>34.117647058823529</v>
      </c>
      <c r="I17">
        <f>ROUNDUP(H17/(1-Assumptions!$B$4),0)</f>
        <v>49</v>
      </c>
      <c r="J17" s="9">
        <f>D17*Assumptions!$B$2/(Assumptions!$B$5*60*Assumptions!$B$3)</f>
        <v>30.352941176470587</v>
      </c>
    </row>
    <row r="18" spans="1:10">
      <c r="A18" s="6">
        <v>46272</v>
      </c>
      <c r="B18" s="7">
        <v>46272.666666666664</v>
      </c>
      <c r="C18">
        <v>129</v>
      </c>
      <c r="D18">
        <v>132</v>
      </c>
      <c r="E18">
        <f t="shared" si="0"/>
        <v>3</v>
      </c>
      <c r="F18">
        <f t="shared" si="1"/>
        <v>3</v>
      </c>
      <c r="G18" s="8">
        <f t="shared" si="2"/>
        <v>0.97727272727272729</v>
      </c>
      <c r="H18" s="9">
        <f>C18*Assumptions!$B$2/(Assumptions!$B$5*60*Assumptions!$B$3)</f>
        <v>30.352941176470587</v>
      </c>
      <c r="I18">
        <f>ROUNDUP(H18/(1-Assumptions!$B$4),0)</f>
        <v>44</v>
      </c>
      <c r="J18" s="9">
        <f>D18*Assumptions!$B$2/(Assumptions!$B$5*60*Assumptions!$B$3)</f>
        <v>31.058823529411764</v>
      </c>
    </row>
    <row r="19" spans="1:10">
      <c r="A19" s="6">
        <v>46272</v>
      </c>
      <c r="B19" s="7">
        <v>46272.6875</v>
      </c>
      <c r="C19">
        <v>121</v>
      </c>
      <c r="D19">
        <v>130</v>
      </c>
      <c r="E19">
        <f t="shared" si="0"/>
        <v>9</v>
      </c>
      <c r="F19">
        <f t="shared" si="1"/>
        <v>9</v>
      </c>
      <c r="G19" s="8">
        <f t="shared" si="2"/>
        <v>0.93076923076923079</v>
      </c>
      <c r="H19" s="9">
        <f>C19*Assumptions!$B$2/(Assumptions!$B$5*60*Assumptions!$B$3)</f>
        <v>28.470588235294116</v>
      </c>
      <c r="I19">
        <f>ROUNDUP(H19/(1-Assumptions!$B$4),0)</f>
        <v>41</v>
      </c>
      <c r="J19" s="9">
        <f>D19*Assumptions!$B$2/(Assumptions!$B$5*60*Assumptions!$B$3)</f>
        <v>30.588235294117649</v>
      </c>
    </row>
    <row r="20" spans="1:10">
      <c r="A20" s="6">
        <v>46272</v>
      </c>
      <c r="B20" s="7">
        <v>46272.708333333336</v>
      </c>
      <c r="C20">
        <v>124</v>
      </c>
      <c r="D20">
        <v>122</v>
      </c>
      <c r="E20">
        <f t="shared" si="0"/>
        <v>-2</v>
      </c>
      <c r="F20">
        <f t="shared" si="1"/>
        <v>2</v>
      </c>
      <c r="G20" s="8">
        <f t="shared" si="2"/>
        <v>0.98360655737704916</v>
      </c>
      <c r="H20" s="9">
        <f>C20*Assumptions!$B$2/(Assumptions!$B$5*60*Assumptions!$B$3)</f>
        <v>29.176470588235293</v>
      </c>
      <c r="I20">
        <f>ROUNDUP(H20/(1-Assumptions!$B$4),0)</f>
        <v>42</v>
      </c>
      <c r="J20" s="9">
        <f>D20*Assumptions!$B$2/(Assumptions!$B$5*60*Assumptions!$B$3)</f>
        <v>28.705882352941178</v>
      </c>
    </row>
    <row r="21" spans="1:10">
      <c r="A21" s="6">
        <v>46272</v>
      </c>
      <c r="B21" s="7">
        <v>46272.729166666664</v>
      </c>
      <c r="C21">
        <v>109</v>
      </c>
      <c r="D21">
        <v>101</v>
      </c>
      <c r="E21">
        <f t="shared" si="0"/>
        <v>-8</v>
      </c>
      <c r="F21">
        <f t="shared" si="1"/>
        <v>8</v>
      </c>
      <c r="G21" s="8">
        <f t="shared" si="2"/>
        <v>0.92079207920792083</v>
      </c>
      <c r="H21" s="9">
        <f>C21*Assumptions!$B$2/(Assumptions!$B$5*60*Assumptions!$B$3)</f>
        <v>25.647058823529413</v>
      </c>
      <c r="I21">
        <f>ROUNDUP(H21/(1-Assumptions!$B$4),0)</f>
        <v>37</v>
      </c>
      <c r="J21" s="9">
        <f>D21*Assumptions!$B$2/(Assumptions!$B$5*60*Assumptions!$B$3)</f>
        <v>23.764705882352942</v>
      </c>
    </row>
    <row r="22" spans="1:10">
      <c r="A22" s="6">
        <v>46273</v>
      </c>
      <c r="B22" s="7">
        <v>46272.333333333336</v>
      </c>
      <c r="C22">
        <v>84</v>
      </c>
      <c r="D22">
        <v>79</v>
      </c>
      <c r="E22">
        <f t="shared" si="0"/>
        <v>-5</v>
      </c>
      <c r="F22">
        <f t="shared" si="1"/>
        <v>5</v>
      </c>
      <c r="G22" s="8">
        <f t="shared" si="2"/>
        <v>0.93670886075949367</v>
      </c>
      <c r="H22" s="9">
        <f>C22*Assumptions!$B$2/(Assumptions!$B$5*60*Assumptions!$B$3)</f>
        <v>19.764705882352942</v>
      </c>
      <c r="I22">
        <f>ROUNDUP(H22/(1-Assumptions!$B$4),0)</f>
        <v>29</v>
      </c>
      <c r="J22" s="9">
        <f>D22*Assumptions!$B$2/(Assumptions!$B$5*60*Assumptions!$B$3)</f>
        <v>18.588235294117649</v>
      </c>
    </row>
    <row r="23" spans="1:10">
      <c r="A23" s="6">
        <v>46273</v>
      </c>
      <c r="B23" s="7">
        <v>46272.354166666664</v>
      </c>
      <c r="C23">
        <v>118</v>
      </c>
      <c r="D23">
        <v>115</v>
      </c>
      <c r="E23">
        <f t="shared" si="0"/>
        <v>-3</v>
      </c>
      <c r="F23">
        <f t="shared" si="1"/>
        <v>3</v>
      </c>
      <c r="G23" s="8">
        <f t="shared" si="2"/>
        <v>0.97391304347826091</v>
      </c>
      <c r="H23" s="9">
        <f>C23*Assumptions!$B$2/(Assumptions!$B$5*60*Assumptions!$B$3)</f>
        <v>27.764705882352942</v>
      </c>
      <c r="I23">
        <f>ROUNDUP(H23/(1-Assumptions!$B$4),0)</f>
        <v>40</v>
      </c>
      <c r="J23" s="9">
        <f>D23*Assumptions!$B$2/(Assumptions!$B$5*60*Assumptions!$B$3)</f>
        <v>27.058823529411764</v>
      </c>
    </row>
    <row r="24" spans="1:10">
      <c r="A24" s="6">
        <v>46273</v>
      </c>
      <c r="B24" s="7">
        <v>46272.375</v>
      </c>
      <c r="C24">
        <v>144</v>
      </c>
      <c r="D24">
        <v>145</v>
      </c>
      <c r="E24">
        <f t="shared" si="0"/>
        <v>1</v>
      </c>
      <c r="F24">
        <f t="shared" si="1"/>
        <v>1</v>
      </c>
      <c r="G24" s="8">
        <f t="shared" si="2"/>
        <v>0.99310344827586206</v>
      </c>
      <c r="H24" s="9">
        <f>C24*Assumptions!$B$2/(Assumptions!$B$5*60*Assumptions!$B$3)</f>
        <v>33.882352941176471</v>
      </c>
      <c r="I24">
        <f>ROUNDUP(H24/(1-Assumptions!$B$4),0)</f>
        <v>49</v>
      </c>
      <c r="J24" s="9">
        <f>D24*Assumptions!$B$2/(Assumptions!$B$5*60*Assumptions!$B$3)</f>
        <v>34.117647058823529</v>
      </c>
    </row>
    <row r="25" spans="1:10">
      <c r="A25" s="6">
        <v>46273</v>
      </c>
      <c r="B25" s="7">
        <v>46272.395833333336</v>
      </c>
      <c r="C25">
        <v>171</v>
      </c>
      <c r="D25">
        <v>154</v>
      </c>
      <c r="E25">
        <f t="shared" si="0"/>
        <v>-17</v>
      </c>
      <c r="F25">
        <f t="shared" si="1"/>
        <v>17</v>
      </c>
      <c r="G25" s="8">
        <f t="shared" si="2"/>
        <v>0.88961038961038963</v>
      </c>
      <c r="H25" s="9">
        <f>C25*Assumptions!$B$2/(Assumptions!$B$5*60*Assumptions!$B$3)</f>
        <v>40.235294117647058</v>
      </c>
      <c r="I25">
        <f>ROUNDUP(H25/(1-Assumptions!$B$4),0)</f>
        <v>58</v>
      </c>
      <c r="J25" s="9">
        <f>D25*Assumptions!$B$2/(Assumptions!$B$5*60*Assumptions!$B$3)</f>
        <v>36.235294117647058</v>
      </c>
    </row>
    <row r="26" spans="1:10">
      <c r="A26" s="6">
        <v>46273</v>
      </c>
      <c r="B26" s="7">
        <v>46272.416666666664</v>
      </c>
      <c r="C26">
        <v>211</v>
      </c>
      <c r="D26">
        <v>222</v>
      </c>
      <c r="E26">
        <f t="shared" si="0"/>
        <v>11</v>
      </c>
      <c r="F26">
        <f t="shared" si="1"/>
        <v>11</v>
      </c>
      <c r="G26" s="8">
        <f t="shared" si="2"/>
        <v>0.9504504504504504</v>
      </c>
      <c r="H26" s="9">
        <f>C26*Assumptions!$B$2/(Assumptions!$B$5*60*Assumptions!$B$3)</f>
        <v>49.647058823529413</v>
      </c>
      <c r="I26">
        <f>ROUNDUP(H26/(1-Assumptions!$B$4),0)</f>
        <v>71</v>
      </c>
      <c r="J26" s="9">
        <f>D26*Assumptions!$B$2/(Assumptions!$B$5*60*Assumptions!$B$3)</f>
        <v>52.235294117647058</v>
      </c>
    </row>
    <row r="27" spans="1:10">
      <c r="A27" s="6">
        <v>46273</v>
      </c>
      <c r="B27" s="7">
        <v>46272.4375</v>
      </c>
      <c r="C27">
        <v>232</v>
      </c>
      <c r="D27">
        <v>227</v>
      </c>
      <c r="E27">
        <f t="shared" si="0"/>
        <v>-5</v>
      </c>
      <c r="F27">
        <f t="shared" si="1"/>
        <v>5</v>
      </c>
      <c r="G27" s="8">
        <f t="shared" si="2"/>
        <v>0.97797356828193838</v>
      </c>
      <c r="H27" s="9">
        <f>C27*Assumptions!$B$2/(Assumptions!$B$5*60*Assumptions!$B$3)</f>
        <v>54.588235294117645</v>
      </c>
      <c r="I27">
        <f>ROUNDUP(H27/(1-Assumptions!$B$4),0)</f>
        <v>78</v>
      </c>
      <c r="J27" s="9">
        <f>D27*Assumptions!$B$2/(Assumptions!$B$5*60*Assumptions!$B$3)</f>
        <v>53.411764705882355</v>
      </c>
    </row>
    <row r="28" spans="1:10">
      <c r="A28" s="6">
        <v>46273</v>
      </c>
      <c r="B28" s="7">
        <v>46272.458333333336</v>
      </c>
      <c r="C28">
        <v>255</v>
      </c>
      <c r="D28">
        <v>272</v>
      </c>
      <c r="E28">
        <f t="shared" si="0"/>
        <v>17</v>
      </c>
      <c r="F28">
        <f t="shared" si="1"/>
        <v>17</v>
      </c>
      <c r="G28" s="8">
        <f t="shared" si="2"/>
        <v>0.9375</v>
      </c>
      <c r="H28" s="9">
        <f>C28*Assumptions!$B$2/(Assumptions!$B$5*60*Assumptions!$B$3)</f>
        <v>60</v>
      </c>
      <c r="I28">
        <f>ROUNDUP(H28/(1-Assumptions!$B$4),0)</f>
        <v>86</v>
      </c>
      <c r="J28" s="9">
        <f>D28*Assumptions!$B$2/(Assumptions!$B$5*60*Assumptions!$B$3)</f>
        <v>64</v>
      </c>
    </row>
    <row r="29" spans="1:10">
      <c r="A29" s="6">
        <v>46273</v>
      </c>
      <c r="B29" s="7">
        <v>46272.479166666664</v>
      </c>
      <c r="C29">
        <v>253</v>
      </c>
      <c r="D29">
        <v>228</v>
      </c>
      <c r="E29">
        <f t="shared" si="0"/>
        <v>-25</v>
      </c>
      <c r="F29">
        <f t="shared" si="1"/>
        <v>25</v>
      </c>
      <c r="G29" s="8">
        <f t="shared" si="2"/>
        <v>0.89035087719298245</v>
      </c>
      <c r="H29" s="9">
        <f>C29*Assumptions!$B$2/(Assumptions!$B$5*60*Assumptions!$B$3)</f>
        <v>59.529411764705884</v>
      </c>
      <c r="I29">
        <f>ROUNDUP(H29/(1-Assumptions!$B$4),0)</f>
        <v>86</v>
      </c>
      <c r="J29" s="9">
        <f>D29*Assumptions!$B$2/(Assumptions!$B$5*60*Assumptions!$B$3)</f>
        <v>53.647058823529413</v>
      </c>
    </row>
    <row r="30" spans="1:10">
      <c r="A30" s="6">
        <v>46273</v>
      </c>
      <c r="B30" s="7">
        <v>46272.5</v>
      </c>
      <c r="C30">
        <v>227</v>
      </c>
      <c r="D30">
        <v>205</v>
      </c>
      <c r="E30">
        <f t="shared" si="0"/>
        <v>-22</v>
      </c>
      <c r="F30">
        <f t="shared" si="1"/>
        <v>22</v>
      </c>
      <c r="G30" s="8">
        <f t="shared" si="2"/>
        <v>0.89268292682926831</v>
      </c>
      <c r="H30" s="9">
        <f>C30*Assumptions!$B$2/(Assumptions!$B$5*60*Assumptions!$B$3)</f>
        <v>53.411764705882355</v>
      </c>
      <c r="I30">
        <f>ROUNDUP(H30/(1-Assumptions!$B$4),0)</f>
        <v>77</v>
      </c>
      <c r="J30" s="9">
        <f>D30*Assumptions!$B$2/(Assumptions!$B$5*60*Assumptions!$B$3)</f>
        <v>48.235294117647058</v>
      </c>
    </row>
    <row r="31" spans="1:10">
      <c r="A31" s="6">
        <v>46273</v>
      </c>
      <c r="B31" s="7">
        <v>46272.520833333336</v>
      </c>
      <c r="C31">
        <v>199</v>
      </c>
      <c r="D31">
        <v>220</v>
      </c>
      <c r="E31">
        <f t="shared" si="0"/>
        <v>21</v>
      </c>
      <c r="F31">
        <f t="shared" si="1"/>
        <v>21</v>
      </c>
      <c r="G31" s="8">
        <f t="shared" si="2"/>
        <v>0.90454545454545454</v>
      </c>
      <c r="H31" s="9">
        <f>C31*Assumptions!$B$2/(Assumptions!$B$5*60*Assumptions!$B$3)</f>
        <v>46.823529411764703</v>
      </c>
      <c r="I31">
        <f>ROUNDUP(H31/(1-Assumptions!$B$4),0)</f>
        <v>67</v>
      </c>
      <c r="J31" s="9">
        <f>D31*Assumptions!$B$2/(Assumptions!$B$5*60*Assumptions!$B$3)</f>
        <v>51.764705882352942</v>
      </c>
    </row>
    <row r="32" spans="1:10">
      <c r="A32" s="6">
        <v>46273</v>
      </c>
      <c r="B32" s="7">
        <v>46272.541666666664</v>
      </c>
      <c r="C32">
        <v>181</v>
      </c>
      <c r="D32">
        <v>185</v>
      </c>
      <c r="E32">
        <f t="shared" si="0"/>
        <v>4</v>
      </c>
      <c r="F32">
        <f t="shared" si="1"/>
        <v>4</v>
      </c>
      <c r="G32" s="8">
        <f t="shared" si="2"/>
        <v>0.97837837837837838</v>
      </c>
      <c r="H32" s="9">
        <f>C32*Assumptions!$B$2/(Assumptions!$B$5*60*Assumptions!$B$3)</f>
        <v>42.588235294117645</v>
      </c>
      <c r="I32">
        <f>ROUNDUP(H32/(1-Assumptions!$B$4),0)</f>
        <v>61</v>
      </c>
      <c r="J32" s="9">
        <f>D32*Assumptions!$B$2/(Assumptions!$B$5*60*Assumptions!$B$3)</f>
        <v>43.529411764705884</v>
      </c>
    </row>
    <row r="33" spans="1:10">
      <c r="A33" s="6">
        <v>46273</v>
      </c>
      <c r="B33" s="7">
        <v>46272.5625</v>
      </c>
      <c r="C33">
        <v>170</v>
      </c>
      <c r="D33">
        <v>154</v>
      </c>
      <c r="E33">
        <f t="shared" si="0"/>
        <v>-16</v>
      </c>
      <c r="F33">
        <f t="shared" si="1"/>
        <v>16</v>
      </c>
      <c r="G33" s="8">
        <f t="shared" si="2"/>
        <v>0.89610389610389607</v>
      </c>
      <c r="H33" s="9">
        <f>C33*Assumptions!$B$2/(Assumptions!$B$5*60*Assumptions!$B$3)</f>
        <v>40</v>
      </c>
      <c r="I33">
        <f>ROUNDUP(H33/(1-Assumptions!$B$4),0)</f>
        <v>58</v>
      </c>
      <c r="J33" s="9">
        <f>D33*Assumptions!$B$2/(Assumptions!$B$5*60*Assumptions!$B$3)</f>
        <v>36.235294117647058</v>
      </c>
    </row>
    <row r="34" spans="1:10">
      <c r="A34" s="6">
        <v>46273</v>
      </c>
      <c r="B34" s="7">
        <v>46272.583333333336</v>
      </c>
      <c r="C34">
        <v>189</v>
      </c>
      <c r="D34">
        <v>170</v>
      </c>
      <c r="E34">
        <f t="shared" si="0"/>
        <v>-19</v>
      </c>
      <c r="F34">
        <f t="shared" si="1"/>
        <v>19</v>
      </c>
      <c r="G34" s="8">
        <f t="shared" si="2"/>
        <v>0.88823529411764701</v>
      </c>
      <c r="H34" s="9">
        <f>C34*Assumptions!$B$2/(Assumptions!$B$5*60*Assumptions!$B$3)</f>
        <v>44.470588235294116</v>
      </c>
      <c r="I34">
        <f>ROUNDUP(H34/(1-Assumptions!$B$4),0)</f>
        <v>64</v>
      </c>
      <c r="J34" s="9">
        <f>D34*Assumptions!$B$2/(Assumptions!$B$5*60*Assumptions!$B$3)</f>
        <v>40</v>
      </c>
    </row>
    <row r="35" spans="1:10">
      <c r="A35" s="6">
        <v>46273</v>
      </c>
      <c r="B35" s="7">
        <v>46272.604166666664</v>
      </c>
      <c r="C35">
        <v>187</v>
      </c>
      <c r="D35">
        <v>208</v>
      </c>
      <c r="E35">
        <f t="shared" si="0"/>
        <v>21</v>
      </c>
      <c r="F35">
        <f t="shared" si="1"/>
        <v>21</v>
      </c>
      <c r="G35" s="8">
        <f t="shared" si="2"/>
        <v>0.89903846153846156</v>
      </c>
      <c r="H35" s="9">
        <f>C35*Assumptions!$B$2/(Assumptions!$B$5*60*Assumptions!$B$3)</f>
        <v>44</v>
      </c>
      <c r="I35">
        <f>ROUNDUP(H35/(1-Assumptions!$B$4),0)</f>
        <v>63</v>
      </c>
      <c r="J35" s="9">
        <f>D35*Assumptions!$B$2/(Assumptions!$B$5*60*Assumptions!$B$3)</f>
        <v>48.941176470588232</v>
      </c>
    </row>
    <row r="36" spans="1:10">
      <c r="A36" s="6">
        <v>46273</v>
      </c>
      <c r="B36" s="7">
        <v>46272.625</v>
      </c>
      <c r="C36">
        <v>175</v>
      </c>
      <c r="D36">
        <v>192</v>
      </c>
      <c r="E36">
        <f t="shared" si="0"/>
        <v>17</v>
      </c>
      <c r="F36">
        <f t="shared" si="1"/>
        <v>17</v>
      </c>
      <c r="G36" s="8">
        <f t="shared" si="2"/>
        <v>0.91145833333333337</v>
      </c>
      <c r="H36" s="9">
        <f>C36*Assumptions!$B$2/(Assumptions!$B$5*60*Assumptions!$B$3)</f>
        <v>41.176470588235297</v>
      </c>
      <c r="I36">
        <f>ROUNDUP(H36/(1-Assumptions!$B$4),0)</f>
        <v>59</v>
      </c>
      <c r="J36" s="9">
        <f>D36*Assumptions!$B$2/(Assumptions!$B$5*60*Assumptions!$B$3)</f>
        <v>45.176470588235297</v>
      </c>
    </row>
    <row r="37" spans="1:10">
      <c r="A37" s="6">
        <v>46273</v>
      </c>
      <c r="B37" s="7">
        <v>46272.645833333336</v>
      </c>
      <c r="C37">
        <v>165</v>
      </c>
      <c r="D37">
        <v>176</v>
      </c>
      <c r="E37">
        <f t="shared" si="0"/>
        <v>11</v>
      </c>
      <c r="F37">
        <f t="shared" si="1"/>
        <v>11</v>
      </c>
      <c r="G37" s="8">
        <f t="shared" si="2"/>
        <v>0.9375</v>
      </c>
      <c r="H37" s="9">
        <f>C37*Assumptions!$B$2/(Assumptions!$B$5*60*Assumptions!$B$3)</f>
        <v>38.823529411764703</v>
      </c>
      <c r="I37">
        <f>ROUNDUP(H37/(1-Assumptions!$B$4),0)</f>
        <v>56</v>
      </c>
      <c r="J37" s="9">
        <f>D37*Assumptions!$B$2/(Assumptions!$B$5*60*Assumptions!$B$3)</f>
        <v>41.411764705882355</v>
      </c>
    </row>
    <row r="38" spans="1:10">
      <c r="A38" s="6">
        <v>46273</v>
      </c>
      <c r="B38" s="7">
        <v>46272.666666666664</v>
      </c>
      <c r="C38">
        <v>151</v>
      </c>
      <c r="D38">
        <v>158</v>
      </c>
      <c r="E38">
        <f t="shared" si="0"/>
        <v>7</v>
      </c>
      <c r="F38">
        <f t="shared" si="1"/>
        <v>7</v>
      </c>
      <c r="G38" s="8">
        <f t="shared" si="2"/>
        <v>0.95569620253164556</v>
      </c>
      <c r="H38" s="9">
        <f>C38*Assumptions!$B$2/(Assumptions!$B$5*60*Assumptions!$B$3)</f>
        <v>35.529411764705884</v>
      </c>
      <c r="I38">
        <f>ROUNDUP(H38/(1-Assumptions!$B$4),0)</f>
        <v>51</v>
      </c>
      <c r="J38" s="9">
        <f>D38*Assumptions!$B$2/(Assumptions!$B$5*60*Assumptions!$B$3)</f>
        <v>37.176470588235297</v>
      </c>
    </row>
    <row r="39" spans="1:10">
      <c r="A39" s="6">
        <v>46273</v>
      </c>
      <c r="B39" s="7">
        <v>46272.6875</v>
      </c>
      <c r="C39">
        <v>127</v>
      </c>
      <c r="D39">
        <v>126</v>
      </c>
      <c r="E39">
        <f t="shared" si="0"/>
        <v>-1</v>
      </c>
      <c r="F39">
        <f t="shared" si="1"/>
        <v>1</v>
      </c>
      <c r="G39" s="8">
        <f t="shared" si="2"/>
        <v>0.99206349206349209</v>
      </c>
      <c r="H39" s="9">
        <f>C39*Assumptions!$B$2/(Assumptions!$B$5*60*Assumptions!$B$3)</f>
        <v>29.882352941176471</v>
      </c>
      <c r="I39">
        <f>ROUNDUP(H39/(1-Assumptions!$B$4),0)</f>
        <v>43</v>
      </c>
      <c r="J39" s="9">
        <f>D39*Assumptions!$B$2/(Assumptions!$B$5*60*Assumptions!$B$3)</f>
        <v>29.647058823529413</v>
      </c>
    </row>
    <row r="40" spans="1:10">
      <c r="A40" s="6">
        <v>46273</v>
      </c>
      <c r="B40" s="7">
        <v>46272.708333333336</v>
      </c>
      <c r="C40">
        <v>128</v>
      </c>
      <c r="D40">
        <v>114</v>
      </c>
      <c r="E40">
        <f t="shared" si="0"/>
        <v>-14</v>
      </c>
      <c r="F40">
        <f t="shared" si="1"/>
        <v>14</v>
      </c>
      <c r="G40" s="8">
        <f t="shared" si="2"/>
        <v>0.87719298245614041</v>
      </c>
      <c r="H40" s="9">
        <f>C40*Assumptions!$B$2/(Assumptions!$B$5*60*Assumptions!$B$3)</f>
        <v>30.117647058823529</v>
      </c>
      <c r="I40">
        <f>ROUNDUP(H40/(1-Assumptions!$B$4),0)</f>
        <v>44</v>
      </c>
      <c r="J40" s="9">
        <f>D40*Assumptions!$B$2/(Assumptions!$B$5*60*Assumptions!$B$3)</f>
        <v>26.823529411764707</v>
      </c>
    </row>
    <row r="41" spans="1:10">
      <c r="A41" s="6">
        <v>46273</v>
      </c>
      <c r="B41" s="7">
        <v>46272.729166666664</v>
      </c>
      <c r="C41">
        <v>108</v>
      </c>
      <c r="D41">
        <v>110</v>
      </c>
      <c r="E41">
        <f t="shared" si="0"/>
        <v>2</v>
      </c>
      <c r="F41">
        <f t="shared" si="1"/>
        <v>2</v>
      </c>
      <c r="G41" s="8">
        <f t="shared" si="2"/>
        <v>0.98181818181818181</v>
      </c>
      <c r="H41" s="9">
        <f>C41*Assumptions!$B$2/(Assumptions!$B$5*60*Assumptions!$B$3)</f>
        <v>25.411764705882351</v>
      </c>
      <c r="I41">
        <f>ROUNDUP(H41/(1-Assumptions!$B$4),0)</f>
        <v>37</v>
      </c>
      <c r="J41" s="9">
        <f>D41*Assumptions!$B$2/(Assumptions!$B$5*60*Assumptions!$B$3)</f>
        <v>25.882352941176471</v>
      </c>
    </row>
    <row r="42" spans="1:10">
      <c r="A42" s="6">
        <v>46274</v>
      </c>
      <c r="B42" s="7">
        <v>46272.333333333336</v>
      </c>
      <c r="C42">
        <v>85</v>
      </c>
      <c r="D42">
        <v>95</v>
      </c>
      <c r="E42">
        <f t="shared" si="0"/>
        <v>10</v>
      </c>
      <c r="F42">
        <f t="shared" si="1"/>
        <v>10</v>
      </c>
      <c r="G42" s="8">
        <f t="shared" si="2"/>
        <v>0.89473684210526316</v>
      </c>
      <c r="H42" s="9">
        <f>C42*Assumptions!$B$2/(Assumptions!$B$5*60*Assumptions!$B$3)</f>
        <v>20</v>
      </c>
      <c r="I42">
        <f>ROUNDUP(H42/(1-Assumptions!$B$4),0)</f>
        <v>29</v>
      </c>
      <c r="J42" s="9">
        <f>D42*Assumptions!$B$2/(Assumptions!$B$5*60*Assumptions!$B$3)</f>
        <v>22.352941176470587</v>
      </c>
    </row>
    <row r="43" spans="1:10">
      <c r="A43" s="6">
        <v>46274</v>
      </c>
      <c r="B43" s="7">
        <v>46272.354166666664</v>
      </c>
      <c r="C43">
        <v>120</v>
      </c>
      <c r="D43">
        <v>129</v>
      </c>
      <c r="E43">
        <f t="shared" si="0"/>
        <v>9</v>
      </c>
      <c r="F43">
        <f t="shared" si="1"/>
        <v>9</v>
      </c>
      <c r="G43" s="8">
        <f t="shared" si="2"/>
        <v>0.93023255813953487</v>
      </c>
      <c r="H43" s="9">
        <f>C43*Assumptions!$B$2/(Assumptions!$B$5*60*Assumptions!$B$3)</f>
        <v>28.235294117647058</v>
      </c>
      <c r="I43">
        <f>ROUNDUP(H43/(1-Assumptions!$B$4),0)</f>
        <v>41</v>
      </c>
      <c r="J43" s="9">
        <f>D43*Assumptions!$B$2/(Assumptions!$B$5*60*Assumptions!$B$3)</f>
        <v>30.352941176470587</v>
      </c>
    </row>
    <row r="44" spans="1:10">
      <c r="A44" s="6">
        <v>46274</v>
      </c>
      <c r="B44" s="7">
        <v>46272.375</v>
      </c>
      <c r="C44">
        <v>153</v>
      </c>
      <c r="D44">
        <v>156</v>
      </c>
      <c r="E44">
        <f t="shared" si="0"/>
        <v>3</v>
      </c>
      <c r="F44">
        <f t="shared" si="1"/>
        <v>3</v>
      </c>
      <c r="G44" s="8">
        <f t="shared" si="2"/>
        <v>0.98076923076923073</v>
      </c>
      <c r="H44" s="9">
        <f>C44*Assumptions!$B$2/(Assumptions!$B$5*60*Assumptions!$B$3)</f>
        <v>36</v>
      </c>
      <c r="I44">
        <f>ROUNDUP(H44/(1-Assumptions!$B$4),0)</f>
        <v>52</v>
      </c>
      <c r="J44" s="9">
        <f>D44*Assumptions!$B$2/(Assumptions!$B$5*60*Assumptions!$B$3)</f>
        <v>36.705882352941174</v>
      </c>
    </row>
    <row r="45" spans="1:10">
      <c r="A45" s="6">
        <v>46274</v>
      </c>
      <c r="B45" s="7">
        <v>46272.395833333336</v>
      </c>
      <c r="C45">
        <v>192</v>
      </c>
      <c r="D45">
        <v>171</v>
      </c>
      <c r="E45">
        <f t="shared" si="0"/>
        <v>-21</v>
      </c>
      <c r="F45">
        <f t="shared" si="1"/>
        <v>21</v>
      </c>
      <c r="G45" s="8">
        <f t="shared" si="2"/>
        <v>0.87719298245614041</v>
      </c>
      <c r="H45" s="9">
        <f>C45*Assumptions!$B$2/(Assumptions!$B$5*60*Assumptions!$B$3)</f>
        <v>45.176470588235297</v>
      </c>
      <c r="I45">
        <f>ROUNDUP(H45/(1-Assumptions!$B$4),0)</f>
        <v>65</v>
      </c>
      <c r="J45" s="9">
        <f>D45*Assumptions!$B$2/(Assumptions!$B$5*60*Assumptions!$B$3)</f>
        <v>40.235294117647058</v>
      </c>
    </row>
    <row r="46" spans="1:10">
      <c r="A46" s="6">
        <v>46274</v>
      </c>
      <c r="B46" s="7">
        <v>46272.416666666664</v>
      </c>
      <c r="C46">
        <v>211</v>
      </c>
      <c r="D46">
        <v>207</v>
      </c>
      <c r="E46">
        <f t="shared" si="0"/>
        <v>-4</v>
      </c>
      <c r="F46">
        <f t="shared" si="1"/>
        <v>4</v>
      </c>
      <c r="G46" s="8">
        <f t="shared" si="2"/>
        <v>0.98067632850241548</v>
      </c>
      <c r="H46" s="9">
        <f>C46*Assumptions!$B$2/(Assumptions!$B$5*60*Assumptions!$B$3)</f>
        <v>49.647058823529413</v>
      </c>
      <c r="I46">
        <f>ROUNDUP(H46/(1-Assumptions!$B$4),0)</f>
        <v>71</v>
      </c>
      <c r="J46" s="9">
        <f>D46*Assumptions!$B$2/(Assumptions!$B$5*60*Assumptions!$B$3)</f>
        <v>48.705882352941174</v>
      </c>
    </row>
    <row r="47" spans="1:10">
      <c r="A47" s="6">
        <v>46274</v>
      </c>
      <c r="B47" s="7">
        <v>46272.4375</v>
      </c>
      <c r="C47">
        <v>250</v>
      </c>
      <c r="D47">
        <v>246</v>
      </c>
      <c r="E47">
        <f t="shared" si="0"/>
        <v>-4</v>
      </c>
      <c r="F47">
        <f t="shared" si="1"/>
        <v>4</v>
      </c>
      <c r="G47" s="8">
        <f t="shared" si="2"/>
        <v>0.98373983739837401</v>
      </c>
      <c r="H47" s="9">
        <f>C47*Assumptions!$B$2/(Assumptions!$B$5*60*Assumptions!$B$3)</f>
        <v>58.823529411764703</v>
      </c>
      <c r="I47">
        <f>ROUNDUP(H47/(1-Assumptions!$B$4),0)</f>
        <v>85</v>
      </c>
      <c r="J47" s="9">
        <f>D47*Assumptions!$B$2/(Assumptions!$B$5*60*Assumptions!$B$3)</f>
        <v>57.882352941176471</v>
      </c>
    </row>
    <row r="48" spans="1:10">
      <c r="A48" s="6">
        <v>46274</v>
      </c>
      <c r="B48" s="7">
        <v>46272.458333333336</v>
      </c>
      <c r="C48">
        <v>261</v>
      </c>
      <c r="D48">
        <v>240</v>
      </c>
      <c r="E48">
        <f t="shared" si="0"/>
        <v>-21</v>
      </c>
      <c r="F48">
        <f t="shared" si="1"/>
        <v>21</v>
      </c>
      <c r="G48" s="8">
        <f t="shared" si="2"/>
        <v>0.91249999999999998</v>
      </c>
      <c r="H48" s="9">
        <f>C48*Assumptions!$B$2/(Assumptions!$B$5*60*Assumptions!$B$3)</f>
        <v>61.411764705882355</v>
      </c>
      <c r="I48">
        <f>ROUNDUP(H48/(1-Assumptions!$B$4),0)</f>
        <v>88</v>
      </c>
      <c r="J48" s="9">
        <f>D48*Assumptions!$B$2/(Assumptions!$B$5*60*Assumptions!$B$3)</f>
        <v>56.470588235294116</v>
      </c>
    </row>
    <row r="49" spans="1:10">
      <c r="A49" s="6">
        <v>46274</v>
      </c>
      <c r="B49" s="7">
        <v>46272.479166666664</v>
      </c>
      <c r="C49">
        <v>246</v>
      </c>
      <c r="D49">
        <v>252</v>
      </c>
      <c r="E49">
        <f t="shared" si="0"/>
        <v>6</v>
      </c>
      <c r="F49">
        <f t="shared" si="1"/>
        <v>6</v>
      </c>
      <c r="G49" s="8">
        <f t="shared" si="2"/>
        <v>0.97619047619047616</v>
      </c>
      <c r="H49" s="9">
        <f>C49*Assumptions!$B$2/(Assumptions!$B$5*60*Assumptions!$B$3)</f>
        <v>57.882352941176471</v>
      </c>
      <c r="I49">
        <f>ROUNDUP(H49/(1-Assumptions!$B$4),0)</f>
        <v>83</v>
      </c>
      <c r="J49" s="9">
        <f>D49*Assumptions!$B$2/(Assumptions!$B$5*60*Assumptions!$B$3)</f>
        <v>59.294117647058826</v>
      </c>
    </row>
    <row r="50" spans="1:10">
      <c r="A50" s="6">
        <v>46274</v>
      </c>
      <c r="B50" s="7">
        <v>46272.5</v>
      </c>
      <c r="C50">
        <v>228</v>
      </c>
      <c r="D50">
        <v>202</v>
      </c>
      <c r="E50">
        <f t="shared" si="0"/>
        <v>-26</v>
      </c>
      <c r="F50">
        <f t="shared" si="1"/>
        <v>26</v>
      </c>
      <c r="G50" s="8">
        <f t="shared" si="2"/>
        <v>0.87128712871287128</v>
      </c>
      <c r="H50" s="9">
        <f>C50*Assumptions!$B$2/(Assumptions!$B$5*60*Assumptions!$B$3)</f>
        <v>53.647058823529413</v>
      </c>
      <c r="I50">
        <f>ROUNDUP(H50/(1-Assumptions!$B$4),0)</f>
        <v>77</v>
      </c>
      <c r="J50" s="9">
        <f>D50*Assumptions!$B$2/(Assumptions!$B$5*60*Assumptions!$B$3)</f>
        <v>47.529411764705884</v>
      </c>
    </row>
    <row r="51" spans="1:10">
      <c r="A51" s="6">
        <v>46274</v>
      </c>
      <c r="B51" s="7">
        <v>46272.520833333336</v>
      </c>
      <c r="C51">
        <v>207</v>
      </c>
      <c r="D51">
        <v>203</v>
      </c>
      <c r="E51">
        <f t="shared" si="0"/>
        <v>-4</v>
      </c>
      <c r="F51">
        <f t="shared" si="1"/>
        <v>4</v>
      </c>
      <c r="G51" s="8">
        <f t="shared" si="2"/>
        <v>0.98029556650246308</v>
      </c>
      <c r="H51" s="9">
        <f>C51*Assumptions!$B$2/(Assumptions!$B$5*60*Assumptions!$B$3)</f>
        <v>48.705882352941174</v>
      </c>
      <c r="I51">
        <f>ROUNDUP(H51/(1-Assumptions!$B$4),0)</f>
        <v>70</v>
      </c>
      <c r="J51" s="9">
        <f>D51*Assumptions!$B$2/(Assumptions!$B$5*60*Assumptions!$B$3)</f>
        <v>47.764705882352942</v>
      </c>
    </row>
    <row r="52" spans="1:10">
      <c r="A52" s="6">
        <v>46274</v>
      </c>
      <c r="B52" s="7">
        <v>46272.541666666664</v>
      </c>
      <c r="C52">
        <v>179</v>
      </c>
      <c r="D52">
        <v>198</v>
      </c>
      <c r="E52">
        <f t="shared" si="0"/>
        <v>19</v>
      </c>
      <c r="F52">
        <f t="shared" si="1"/>
        <v>19</v>
      </c>
      <c r="G52" s="8">
        <f t="shared" si="2"/>
        <v>0.90404040404040409</v>
      </c>
      <c r="H52" s="9">
        <f>C52*Assumptions!$B$2/(Assumptions!$B$5*60*Assumptions!$B$3)</f>
        <v>42.117647058823529</v>
      </c>
      <c r="I52">
        <f>ROUNDUP(H52/(1-Assumptions!$B$4),0)</f>
        <v>61</v>
      </c>
      <c r="J52" s="9">
        <f>D52*Assumptions!$B$2/(Assumptions!$B$5*60*Assumptions!$B$3)</f>
        <v>46.588235294117645</v>
      </c>
    </row>
    <row r="53" spans="1:10">
      <c r="A53" s="6">
        <v>46274</v>
      </c>
      <c r="B53" s="7">
        <v>46272.5625</v>
      </c>
      <c r="C53">
        <v>187</v>
      </c>
      <c r="D53">
        <v>207</v>
      </c>
      <c r="E53">
        <f t="shared" si="0"/>
        <v>20</v>
      </c>
      <c r="F53">
        <f t="shared" si="1"/>
        <v>20</v>
      </c>
      <c r="G53" s="8">
        <f t="shared" si="2"/>
        <v>0.90338164251207731</v>
      </c>
      <c r="H53" s="9">
        <f>C53*Assumptions!$B$2/(Assumptions!$B$5*60*Assumptions!$B$3)</f>
        <v>44</v>
      </c>
      <c r="I53">
        <f>ROUNDUP(H53/(1-Assumptions!$B$4),0)</f>
        <v>63</v>
      </c>
      <c r="J53" s="9">
        <f>D53*Assumptions!$B$2/(Assumptions!$B$5*60*Assumptions!$B$3)</f>
        <v>48.705882352941174</v>
      </c>
    </row>
    <row r="54" spans="1:10">
      <c r="A54" s="6">
        <v>46274</v>
      </c>
      <c r="B54" s="7">
        <v>46272.583333333336</v>
      </c>
      <c r="C54">
        <v>207</v>
      </c>
      <c r="D54">
        <v>209</v>
      </c>
      <c r="E54">
        <f t="shared" si="0"/>
        <v>2</v>
      </c>
      <c r="F54">
        <f t="shared" si="1"/>
        <v>2</v>
      </c>
      <c r="G54" s="8">
        <f t="shared" si="2"/>
        <v>0.99043062200956933</v>
      </c>
      <c r="H54" s="9">
        <f>C54*Assumptions!$B$2/(Assumptions!$B$5*60*Assumptions!$B$3)</f>
        <v>48.705882352941174</v>
      </c>
      <c r="I54">
        <f>ROUNDUP(H54/(1-Assumptions!$B$4),0)</f>
        <v>70</v>
      </c>
      <c r="J54" s="9">
        <f>D54*Assumptions!$B$2/(Assumptions!$B$5*60*Assumptions!$B$3)</f>
        <v>49.176470588235297</v>
      </c>
    </row>
    <row r="55" spans="1:10">
      <c r="A55" s="6">
        <v>46274</v>
      </c>
      <c r="B55" s="7">
        <v>46272.604166666664</v>
      </c>
      <c r="C55">
        <v>202</v>
      </c>
      <c r="D55">
        <v>183</v>
      </c>
      <c r="E55">
        <f t="shared" si="0"/>
        <v>-19</v>
      </c>
      <c r="F55">
        <f t="shared" si="1"/>
        <v>19</v>
      </c>
      <c r="G55" s="8">
        <f t="shared" si="2"/>
        <v>0.89617486338797814</v>
      </c>
      <c r="H55" s="9">
        <f>C55*Assumptions!$B$2/(Assumptions!$B$5*60*Assumptions!$B$3)</f>
        <v>47.529411764705884</v>
      </c>
      <c r="I55">
        <f>ROUNDUP(H55/(1-Assumptions!$B$4),0)</f>
        <v>68</v>
      </c>
      <c r="J55" s="9">
        <f>D55*Assumptions!$B$2/(Assumptions!$B$5*60*Assumptions!$B$3)</f>
        <v>43.058823529411768</v>
      </c>
    </row>
    <row r="56" spans="1:10">
      <c r="A56" s="6">
        <v>46274</v>
      </c>
      <c r="B56" s="7">
        <v>46272.625</v>
      </c>
      <c r="C56">
        <v>195</v>
      </c>
      <c r="D56">
        <v>192</v>
      </c>
      <c r="E56">
        <f t="shared" si="0"/>
        <v>-3</v>
      </c>
      <c r="F56">
        <f t="shared" si="1"/>
        <v>3</v>
      </c>
      <c r="G56" s="8">
        <f t="shared" si="2"/>
        <v>0.984375</v>
      </c>
      <c r="H56" s="9">
        <f>C56*Assumptions!$B$2/(Assumptions!$B$5*60*Assumptions!$B$3)</f>
        <v>45.882352941176471</v>
      </c>
      <c r="I56">
        <f>ROUNDUP(H56/(1-Assumptions!$B$4),0)</f>
        <v>66</v>
      </c>
      <c r="J56" s="9">
        <f>D56*Assumptions!$B$2/(Assumptions!$B$5*60*Assumptions!$B$3)</f>
        <v>45.176470588235297</v>
      </c>
    </row>
    <row r="57" spans="1:10">
      <c r="A57" s="6">
        <v>46274</v>
      </c>
      <c r="B57" s="7">
        <v>46272.645833333336</v>
      </c>
      <c r="C57">
        <v>167</v>
      </c>
      <c r="D57">
        <v>153</v>
      </c>
      <c r="E57">
        <f t="shared" si="0"/>
        <v>-14</v>
      </c>
      <c r="F57">
        <f t="shared" si="1"/>
        <v>14</v>
      </c>
      <c r="G57" s="8">
        <f t="shared" si="2"/>
        <v>0.90849673202614378</v>
      </c>
      <c r="H57" s="9">
        <f>C57*Assumptions!$B$2/(Assumptions!$B$5*60*Assumptions!$B$3)</f>
        <v>39.294117647058826</v>
      </c>
      <c r="I57">
        <f>ROUNDUP(H57/(1-Assumptions!$B$4),0)</f>
        <v>57</v>
      </c>
      <c r="J57" s="9">
        <f>D57*Assumptions!$B$2/(Assumptions!$B$5*60*Assumptions!$B$3)</f>
        <v>36</v>
      </c>
    </row>
    <row r="58" spans="1:10">
      <c r="A58" s="6">
        <v>46274</v>
      </c>
      <c r="B58" s="7">
        <v>46272.666666666664</v>
      </c>
      <c r="C58">
        <v>154</v>
      </c>
      <c r="D58">
        <v>172</v>
      </c>
      <c r="E58">
        <f t="shared" si="0"/>
        <v>18</v>
      </c>
      <c r="F58">
        <f t="shared" si="1"/>
        <v>18</v>
      </c>
      <c r="G58" s="8">
        <f t="shared" si="2"/>
        <v>0.89534883720930236</v>
      </c>
      <c r="H58" s="9">
        <f>C58*Assumptions!$B$2/(Assumptions!$B$5*60*Assumptions!$B$3)</f>
        <v>36.235294117647058</v>
      </c>
      <c r="I58">
        <f>ROUNDUP(H58/(1-Assumptions!$B$4),0)</f>
        <v>52</v>
      </c>
      <c r="J58" s="9">
        <f>D58*Assumptions!$B$2/(Assumptions!$B$5*60*Assumptions!$B$3)</f>
        <v>40.470588235294116</v>
      </c>
    </row>
    <row r="59" spans="1:10">
      <c r="A59" s="6">
        <v>46274</v>
      </c>
      <c r="B59" s="7">
        <v>46272.6875</v>
      </c>
      <c r="C59">
        <v>135</v>
      </c>
      <c r="D59">
        <v>145</v>
      </c>
      <c r="E59">
        <f t="shared" si="0"/>
        <v>10</v>
      </c>
      <c r="F59">
        <f t="shared" si="1"/>
        <v>10</v>
      </c>
      <c r="G59" s="8">
        <f t="shared" si="2"/>
        <v>0.93103448275862066</v>
      </c>
      <c r="H59" s="9">
        <f>C59*Assumptions!$B$2/(Assumptions!$B$5*60*Assumptions!$B$3)</f>
        <v>31.764705882352942</v>
      </c>
      <c r="I59">
        <f>ROUNDUP(H59/(1-Assumptions!$B$4),0)</f>
        <v>46</v>
      </c>
      <c r="J59" s="9">
        <f>D59*Assumptions!$B$2/(Assumptions!$B$5*60*Assumptions!$B$3)</f>
        <v>34.117647058823529</v>
      </c>
    </row>
    <row r="60" spans="1:10">
      <c r="A60" s="6">
        <v>46274</v>
      </c>
      <c r="B60" s="7">
        <v>46272.708333333336</v>
      </c>
      <c r="C60">
        <v>138</v>
      </c>
      <c r="D60">
        <v>139</v>
      </c>
      <c r="E60">
        <f t="shared" si="0"/>
        <v>1</v>
      </c>
      <c r="F60">
        <f t="shared" si="1"/>
        <v>1</v>
      </c>
      <c r="G60" s="8">
        <f t="shared" si="2"/>
        <v>0.9928057553956835</v>
      </c>
      <c r="H60" s="9">
        <f>C60*Assumptions!$B$2/(Assumptions!$B$5*60*Assumptions!$B$3)</f>
        <v>32.470588235294116</v>
      </c>
      <c r="I60">
        <f>ROUNDUP(H60/(1-Assumptions!$B$4),0)</f>
        <v>47</v>
      </c>
      <c r="J60" s="9">
        <f>D60*Assumptions!$B$2/(Assumptions!$B$5*60*Assumptions!$B$3)</f>
        <v>32.705882352941174</v>
      </c>
    </row>
    <row r="61" spans="1:10">
      <c r="A61" s="6">
        <v>46274</v>
      </c>
      <c r="B61" s="7">
        <v>46272.729166666664</v>
      </c>
      <c r="C61">
        <v>121</v>
      </c>
      <c r="D61">
        <v>128</v>
      </c>
      <c r="E61">
        <f t="shared" si="0"/>
        <v>7</v>
      </c>
      <c r="F61">
        <f t="shared" si="1"/>
        <v>7</v>
      </c>
      <c r="G61" s="8">
        <f t="shared" si="2"/>
        <v>0.9453125</v>
      </c>
      <c r="H61" s="9">
        <f>C61*Assumptions!$B$2/(Assumptions!$B$5*60*Assumptions!$B$3)</f>
        <v>28.470588235294116</v>
      </c>
      <c r="I61">
        <f>ROUNDUP(H61/(1-Assumptions!$B$4),0)</f>
        <v>41</v>
      </c>
      <c r="J61" s="9">
        <f>D61*Assumptions!$B$2/(Assumptions!$B$5*60*Assumptions!$B$3)</f>
        <v>30.117647058823529</v>
      </c>
    </row>
    <row r="62" spans="1:10">
      <c r="A62" s="6">
        <v>46275</v>
      </c>
      <c r="B62" s="7">
        <v>46272.333333333336</v>
      </c>
      <c r="C62">
        <v>86</v>
      </c>
      <c r="D62">
        <v>77</v>
      </c>
      <c r="E62">
        <f t="shared" si="0"/>
        <v>-9</v>
      </c>
      <c r="F62">
        <f t="shared" si="1"/>
        <v>9</v>
      </c>
      <c r="G62" s="8">
        <f t="shared" si="2"/>
        <v>0.88311688311688308</v>
      </c>
      <c r="H62" s="9">
        <f>C62*Assumptions!$B$2/(Assumptions!$B$5*60*Assumptions!$B$3)</f>
        <v>20.235294117647058</v>
      </c>
      <c r="I62">
        <f>ROUNDUP(H62/(1-Assumptions!$B$4),0)</f>
        <v>29</v>
      </c>
      <c r="J62" s="9">
        <f>D62*Assumptions!$B$2/(Assumptions!$B$5*60*Assumptions!$B$3)</f>
        <v>18.117647058823529</v>
      </c>
    </row>
    <row r="63" spans="1:10">
      <c r="A63" s="6">
        <v>46275</v>
      </c>
      <c r="B63" s="7">
        <v>46272.354166666664</v>
      </c>
      <c r="C63">
        <v>112</v>
      </c>
      <c r="D63">
        <v>105</v>
      </c>
      <c r="E63">
        <f t="shared" si="0"/>
        <v>-7</v>
      </c>
      <c r="F63">
        <f t="shared" si="1"/>
        <v>7</v>
      </c>
      <c r="G63" s="8">
        <f t="shared" si="2"/>
        <v>0.93333333333333335</v>
      </c>
      <c r="H63" s="9">
        <f>C63*Assumptions!$B$2/(Assumptions!$B$5*60*Assumptions!$B$3)</f>
        <v>26.352941176470587</v>
      </c>
      <c r="I63">
        <f>ROUNDUP(H63/(1-Assumptions!$B$4),0)</f>
        <v>38</v>
      </c>
      <c r="J63" s="9">
        <f>D63*Assumptions!$B$2/(Assumptions!$B$5*60*Assumptions!$B$3)</f>
        <v>24.705882352941178</v>
      </c>
    </row>
    <row r="64" spans="1:10">
      <c r="A64" s="6">
        <v>46275</v>
      </c>
      <c r="B64" s="7">
        <v>46272.375</v>
      </c>
      <c r="C64">
        <v>143</v>
      </c>
      <c r="D64">
        <v>135</v>
      </c>
      <c r="E64">
        <f t="shared" si="0"/>
        <v>-8</v>
      </c>
      <c r="F64">
        <f t="shared" si="1"/>
        <v>8</v>
      </c>
      <c r="G64" s="8">
        <f t="shared" si="2"/>
        <v>0.94074074074074077</v>
      </c>
      <c r="H64" s="9">
        <f>C64*Assumptions!$B$2/(Assumptions!$B$5*60*Assumptions!$B$3)</f>
        <v>33.647058823529413</v>
      </c>
      <c r="I64">
        <f>ROUNDUP(H64/(1-Assumptions!$B$4),0)</f>
        <v>49</v>
      </c>
      <c r="J64" s="9">
        <f>D64*Assumptions!$B$2/(Assumptions!$B$5*60*Assumptions!$B$3)</f>
        <v>31.764705882352942</v>
      </c>
    </row>
    <row r="65" spans="1:10">
      <c r="A65" s="6">
        <v>46275</v>
      </c>
      <c r="B65" s="7">
        <v>46272.395833333336</v>
      </c>
      <c r="C65">
        <v>181</v>
      </c>
      <c r="D65">
        <v>169</v>
      </c>
      <c r="E65">
        <f t="shared" si="0"/>
        <v>-12</v>
      </c>
      <c r="F65">
        <f t="shared" si="1"/>
        <v>12</v>
      </c>
      <c r="G65" s="8">
        <f t="shared" si="2"/>
        <v>0.92899408284023666</v>
      </c>
      <c r="H65" s="9">
        <f>C65*Assumptions!$B$2/(Assumptions!$B$5*60*Assumptions!$B$3)</f>
        <v>42.588235294117645</v>
      </c>
      <c r="I65">
        <f>ROUNDUP(H65/(1-Assumptions!$B$4),0)</f>
        <v>61</v>
      </c>
      <c r="J65" s="9">
        <f>D65*Assumptions!$B$2/(Assumptions!$B$5*60*Assumptions!$B$3)</f>
        <v>39.764705882352942</v>
      </c>
    </row>
    <row r="66" spans="1:10">
      <c r="A66" s="6">
        <v>46275</v>
      </c>
      <c r="B66" s="7">
        <v>46272.416666666664</v>
      </c>
      <c r="C66">
        <v>215</v>
      </c>
      <c r="D66">
        <v>190</v>
      </c>
      <c r="E66">
        <f t="shared" ref="E66:E129" si="3">D66-C66</f>
        <v>-25</v>
      </c>
      <c r="F66">
        <f t="shared" ref="F66:F129" si="4">ABS(E66)</f>
        <v>25</v>
      </c>
      <c r="G66" s="8">
        <f t="shared" ref="G66:G129" si="5">IFERROR(1-F66/D66,0)</f>
        <v>0.86842105263157898</v>
      </c>
      <c r="H66" s="9">
        <f>C66*Assumptions!$B$2/(Assumptions!$B$5*60*Assumptions!$B$3)</f>
        <v>50.588235294117645</v>
      </c>
      <c r="I66">
        <f>ROUNDUP(H66/(1-Assumptions!$B$4),0)</f>
        <v>73</v>
      </c>
      <c r="J66" s="9">
        <f>D66*Assumptions!$B$2/(Assumptions!$B$5*60*Assumptions!$B$3)</f>
        <v>44.705882352941174</v>
      </c>
    </row>
    <row r="67" spans="1:10">
      <c r="A67" s="6">
        <v>46275</v>
      </c>
      <c r="B67" s="7">
        <v>46272.4375</v>
      </c>
      <c r="C67">
        <v>258</v>
      </c>
      <c r="D67">
        <v>271</v>
      </c>
      <c r="E67">
        <f t="shared" si="3"/>
        <v>13</v>
      </c>
      <c r="F67">
        <f t="shared" si="4"/>
        <v>13</v>
      </c>
      <c r="G67" s="8">
        <f t="shared" si="5"/>
        <v>0.95202952029520294</v>
      </c>
      <c r="H67" s="9">
        <f>C67*Assumptions!$B$2/(Assumptions!$B$5*60*Assumptions!$B$3)</f>
        <v>60.705882352941174</v>
      </c>
      <c r="I67">
        <f>ROUNDUP(H67/(1-Assumptions!$B$4),0)</f>
        <v>87</v>
      </c>
      <c r="J67" s="9">
        <f>D67*Assumptions!$B$2/(Assumptions!$B$5*60*Assumptions!$B$3)</f>
        <v>63.764705882352942</v>
      </c>
    </row>
    <row r="68" spans="1:10">
      <c r="A68" s="6">
        <v>46275</v>
      </c>
      <c r="B68" s="7">
        <v>46272.458333333336</v>
      </c>
      <c r="C68">
        <v>256</v>
      </c>
      <c r="D68">
        <v>238</v>
      </c>
      <c r="E68">
        <f t="shared" si="3"/>
        <v>-18</v>
      </c>
      <c r="F68">
        <f t="shared" si="4"/>
        <v>18</v>
      </c>
      <c r="G68" s="8">
        <f t="shared" si="5"/>
        <v>0.92436974789915971</v>
      </c>
      <c r="H68" s="9">
        <f>C68*Assumptions!$B$2/(Assumptions!$B$5*60*Assumptions!$B$3)</f>
        <v>60.235294117647058</v>
      </c>
      <c r="I68">
        <f>ROUNDUP(H68/(1-Assumptions!$B$4),0)</f>
        <v>87</v>
      </c>
      <c r="J68" s="9">
        <f>D68*Assumptions!$B$2/(Assumptions!$B$5*60*Assumptions!$B$3)</f>
        <v>56</v>
      </c>
    </row>
    <row r="69" spans="1:10">
      <c r="A69" s="6">
        <v>46275</v>
      </c>
      <c r="B69" s="7">
        <v>46272.479166666664</v>
      </c>
      <c r="C69">
        <v>254</v>
      </c>
      <c r="D69">
        <v>232</v>
      </c>
      <c r="E69">
        <f t="shared" si="3"/>
        <v>-22</v>
      </c>
      <c r="F69">
        <f t="shared" si="4"/>
        <v>22</v>
      </c>
      <c r="G69" s="8">
        <f t="shared" si="5"/>
        <v>0.90517241379310343</v>
      </c>
      <c r="H69" s="9">
        <f>C69*Assumptions!$B$2/(Assumptions!$B$5*60*Assumptions!$B$3)</f>
        <v>59.764705882352942</v>
      </c>
      <c r="I69">
        <f>ROUNDUP(H69/(1-Assumptions!$B$4),0)</f>
        <v>86</v>
      </c>
      <c r="J69" s="9">
        <f>D69*Assumptions!$B$2/(Assumptions!$B$5*60*Assumptions!$B$3)</f>
        <v>54.588235294117645</v>
      </c>
    </row>
    <row r="70" spans="1:10">
      <c r="A70" s="6">
        <v>46275</v>
      </c>
      <c r="B70" s="7">
        <v>46272.5</v>
      </c>
      <c r="C70">
        <v>237</v>
      </c>
      <c r="D70">
        <v>211</v>
      </c>
      <c r="E70">
        <f t="shared" si="3"/>
        <v>-26</v>
      </c>
      <c r="F70">
        <f t="shared" si="4"/>
        <v>26</v>
      </c>
      <c r="G70" s="8">
        <f t="shared" si="5"/>
        <v>0.87677725118483418</v>
      </c>
      <c r="H70" s="9">
        <f>C70*Assumptions!$B$2/(Assumptions!$B$5*60*Assumptions!$B$3)</f>
        <v>55.764705882352942</v>
      </c>
      <c r="I70">
        <f>ROUNDUP(H70/(1-Assumptions!$B$4),0)</f>
        <v>80</v>
      </c>
      <c r="J70" s="9">
        <f>D70*Assumptions!$B$2/(Assumptions!$B$5*60*Assumptions!$B$3)</f>
        <v>49.647058823529413</v>
      </c>
    </row>
    <row r="71" spans="1:10">
      <c r="A71" s="6">
        <v>46275</v>
      </c>
      <c r="B71" s="7">
        <v>46272.520833333336</v>
      </c>
      <c r="C71">
        <v>201</v>
      </c>
      <c r="D71">
        <v>210</v>
      </c>
      <c r="E71">
        <f t="shared" si="3"/>
        <v>9</v>
      </c>
      <c r="F71">
        <f t="shared" si="4"/>
        <v>9</v>
      </c>
      <c r="G71" s="8">
        <f t="shared" si="5"/>
        <v>0.95714285714285718</v>
      </c>
      <c r="H71" s="9">
        <f>C71*Assumptions!$B$2/(Assumptions!$B$5*60*Assumptions!$B$3)</f>
        <v>47.294117647058826</v>
      </c>
      <c r="I71">
        <f>ROUNDUP(H71/(1-Assumptions!$B$4),0)</f>
        <v>68</v>
      </c>
      <c r="J71" s="9">
        <f>D71*Assumptions!$B$2/(Assumptions!$B$5*60*Assumptions!$B$3)</f>
        <v>49.411764705882355</v>
      </c>
    </row>
    <row r="72" spans="1:10">
      <c r="A72" s="6">
        <v>46275</v>
      </c>
      <c r="B72" s="7">
        <v>46272.541666666664</v>
      </c>
      <c r="C72">
        <v>183</v>
      </c>
      <c r="D72">
        <v>196</v>
      </c>
      <c r="E72">
        <f t="shared" si="3"/>
        <v>13</v>
      </c>
      <c r="F72">
        <f t="shared" si="4"/>
        <v>13</v>
      </c>
      <c r="G72" s="8">
        <f t="shared" si="5"/>
        <v>0.93367346938775508</v>
      </c>
      <c r="H72" s="9">
        <f>C72*Assumptions!$B$2/(Assumptions!$B$5*60*Assumptions!$B$3)</f>
        <v>43.058823529411768</v>
      </c>
      <c r="I72">
        <f>ROUNDUP(H72/(1-Assumptions!$B$4),0)</f>
        <v>62</v>
      </c>
      <c r="J72" s="9">
        <f>D72*Assumptions!$B$2/(Assumptions!$B$5*60*Assumptions!$B$3)</f>
        <v>46.117647058823529</v>
      </c>
    </row>
    <row r="73" spans="1:10">
      <c r="A73" s="6">
        <v>46275</v>
      </c>
      <c r="B73" s="7">
        <v>46272.5625</v>
      </c>
      <c r="C73">
        <v>190</v>
      </c>
      <c r="D73">
        <v>212</v>
      </c>
      <c r="E73">
        <f t="shared" si="3"/>
        <v>22</v>
      </c>
      <c r="F73">
        <f t="shared" si="4"/>
        <v>22</v>
      </c>
      <c r="G73" s="8">
        <f t="shared" si="5"/>
        <v>0.89622641509433965</v>
      </c>
      <c r="H73" s="9">
        <f>C73*Assumptions!$B$2/(Assumptions!$B$5*60*Assumptions!$B$3)</f>
        <v>44.705882352941174</v>
      </c>
      <c r="I73">
        <f>ROUNDUP(H73/(1-Assumptions!$B$4),0)</f>
        <v>64</v>
      </c>
      <c r="J73" s="9">
        <f>D73*Assumptions!$B$2/(Assumptions!$B$5*60*Assumptions!$B$3)</f>
        <v>49.882352941176471</v>
      </c>
    </row>
    <row r="74" spans="1:10">
      <c r="A74" s="6">
        <v>46275</v>
      </c>
      <c r="B74" s="7">
        <v>46272.583333333336</v>
      </c>
      <c r="C74">
        <v>191</v>
      </c>
      <c r="D74">
        <v>190</v>
      </c>
      <c r="E74">
        <f t="shared" si="3"/>
        <v>-1</v>
      </c>
      <c r="F74">
        <f t="shared" si="4"/>
        <v>1</v>
      </c>
      <c r="G74" s="8">
        <f t="shared" si="5"/>
        <v>0.99473684210526314</v>
      </c>
      <c r="H74" s="9">
        <f>C74*Assumptions!$B$2/(Assumptions!$B$5*60*Assumptions!$B$3)</f>
        <v>44.941176470588232</v>
      </c>
      <c r="I74">
        <f>ROUNDUP(H74/(1-Assumptions!$B$4),0)</f>
        <v>65</v>
      </c>
      <c r="J74" s="9">
        <f>D74*Assumptions!$B$2/(Assumptions!$B$5*60*Assumptions!$B$3)</f>
        <v>44.705882352941174</v>
      </c>
    </row>
    <row r="75" spans="1:10">
      <c r="A75" s="6">
        <v>46275</v>
      </c>
      <c r="B75" s="7">
        <v>46272.604166666664</v>
      </c>
      <c r="C75">
        <v>192</v>
      </c>
      <c r="D75">
        <v>203</v>
      </c>
      <c r="E75">
        <f t="shared" si="3"/>
        <v>11</v>
      </c>
      <c r="F75">
        <f t="shared" si="4"/>
        <v>11</v>
      </c>
      <c r="G75" s="8">
        <f t="shared" si="5"/>
        <v>0.94581280788177335</v>
      </c>
      <c r="H75" s="9">
        <f>C75*Assumptions!$B$2/(Assumptions!$B$5*60*Assumptions!$B$3)</f>
        <v>45.176470588235297</v>
      </c>
      <c r="I75">
        <f>ROUNDUP(H75/(1-Assumptions!$B$4),0)</f>
        <v>65</v>
      </c>
      <c r="J75" s="9">
        <f>D75*Assumptions!$B$2/(Assumptions!$B$5*60*Assumptions!$B$3)</f>
        <v>47.764705882352942</v>
      </c>
    </row>
    <row r="76" spans="1:10">
      <c r="A76" s="6">
        <v>46275</v>
      </c>
      <c r="B76" s="7">
        <v>46272.625</v>
      </c>
      <c r="C76">
        <v>177</v>
      </c>
      <c r="D76">
        <v>163</v>
      </c>
      <c r="E76">
        <f t="shared" si="3"/>
        <v>-14</v>
      </c>
      <c r="F76">
        <f t="shared" si="4"/>
        <v>14</v>
      </c>
      <c r="G76" s="8">
        <f t="shared" si="5"/>
        <v>0.91411042944785281</v>
      </c>
      <c r="H76" s="9">
        <f>C76*Assumptions!$B$2/(Assumptions!$B$5*60*Assumptions!$B$3)</f>
        <v>41.647058823529413</v>
      </c>
      <c r="I76">
        <f>ROUNDUP(H76/(1-Assumptions!$B$4),0)</f>
        <v>60</v>
      </c>
      <c r="J76" s="9">
        <f>D76*Assumptions!$B$2/(Assumptions!$B$5*60*Assumptions!$B$3)</f>
        <v>38.352941176470587</v>
      </c>
    </row>
    <row r="77" spans="1:10">
      <c r="A77" s="6">
        <v>46275</v>
      </c>
      <c r="B77" s="7">
        <v>46272.645833333336</v>
      </c>
      <c r="C77">
        <v>159</v>
      </c>
      <c r="D77">
        <v>141</v>
      </c>
      <c r="E77">
        <f t="shared" si="3"/>
        <v>-18</v>
      </c>
      <c r="F77">
        <f t="shared" si="4"/>
        <v>18</v>
      </c>
      <c r="G77" s="8">
        <f t="shared" si="5"/>
        <v>0.87234042553191493</v>
      </c>
      <c r="H77" s="9">
        <f>C77*Assumptions!$B$2/(Assumptions!$B$5*60*Assumptions!$B$3)</f>
        <v>37.411764705882355</v>
      </c>
      <c r="I77">
        <f>ROUNDUP(H77/(1-Assumptions!$B$4),0)</f>
        <v>54</v>
      </c>
      <c r="J77" s="9">
        <f>D77*Assumptions!$B$2/(Assumptions!$B$5*60*Assumptions!$B$3)</f>
        <v>33.176470588235297</v>
      </c>
    </row>
    <row r="78" spans="1:10">
      <c r="A78" s="6">
        <v>46275</v>
      </c>
      <c r="B78" s="7">
        <v>46272.666666666664</v>
      </c>
      <c r="C78">
        <v>146</v>
      </c>
      <c r="D78">
        <v>135</v>
      </c>
      <c r="E78">
        <f t="shared" si="3"/>
        <v>-11</v>
      </c>
      <c r="F78">
        <f t="shared" si="4"/>
        <v>11</v>
      </c>
      <c r="G78" s="8">
        <f t="shared" si="5"/>
        <v>0.91851851851851851</v>
      </c>
      <c r="H78" s="9">
        <f>C78*Assumptions!$B$2/(Assumptions!$B$5*60*Assumptions!$B$3)</f>
        <v>34.352941176470587</v>
      </c>
      <c r="I78">
        <f>ROUNDUP(H78/(1-Assumptions!$B$4),0)</f>
        <v>50</v>
      </c>
      <c r="J78" s="9">
        <f>D78*Assumptions!$B$2/(Assumptions!$B$5*60*Assumptions!$B$3)</f>
        <v>31.764705882352942</v>
      </c>
    </row>
    <row r="79" spans="1:10">
      <c r="A79" s="6">
        <v>46275</v>
      </c>
      <c r="B79" s="7">
        <v>46272.6875</v>
      </c>
      <c r="C79">
        <v>133</v>
      </c>
      <c r="D79">
        <v>143</v>
      </c>
      <c r="E79">
        <f t="shared" si="3"/>
        <v>10</v>
      </c>
      <c r="F79">
        <f t="shared" si="4"/>
        <v>10</v>
      </c>
      <c r="G79" s="8">
        <f t="shared" si="5"/>
        <v>0.93006993006993011</v>
      </c>
      <c r="H79" s="9">
        <f>C79*Assumptions!$B$2/(Assumptions!$B$5*60*Assumptions!$B$3)</f>
        <v>31.294117647058822</v>
      </c>
      <c r="I79">
        <f>ROUNDUP(H79/(1-Assumptions!$B$4),0)</f>
        <v>45</v>
      </c>
      <c r="J79" s="9">
        <f>D79*Assumptions!$B$2/(Assumptions!$B$5*60*Assumptions!$B$3)</f>
        <v>33.647058823529413</v>
      </c>
    </row>
    <row r="80" spans="1:10">
      <c r="A80" s="6">
        <v>46275</v>
      </c>
      <c r="B80" s="7">
        <v>46272.708333333336</v>
      </c>
      <c r="C80">
        <v>135</v>
      </c>
      <c r="D80">
        <v>129</v>
      </c>
      <c r="E80">
        <f t="shared" si="3"/>
        <v>-6</v>
      </c>
      <c r="F80">
        <f t="shared" si="4"/>
        <v>6</v>
      </c>
      <c r="G80" s="8">
        <f t="shared" si="5"/>
        <v>0.95348837209302328</v>
      </c>
      <c r="H80" s="9">
        <f>C80*Assumptions!$B$2/(Assumptions!$B$5*60*Assumptions!$B$3)</f>
        <v>31.764705882352942</v>
      </c>
      <c r="I80">
        <f>ROUNDUP(H80/(1-Assumptions!$B$4),0)</f>
        <v>46</v>
      </c>
      <c r="J80" s="9">
        <f>D80*Assumptions!$B$2/(Assumptions!$B$5*60*Assumptions!$B$3)</f>
        <v>30.352941176470587</v>
      </c>
    </row>
    <row r="81" spans="1:10">
      <c r="A81" s="6">
        <v>46275</v>
      </c>
      <c r="B81" s="7">
        <v>46272.729166666664</v>
      </c>
      <c r="C81">
        <v>113</v>
      </c>
      <c r="D81">
        <v>121</v>
      </c>
      <c r="E81">
        <f t="shared" si="3"/>
        <v>8</v>
      </c>
      <c r="F81">
        <f t="shared" si="4"/>
        <v>8</v>
      </c>
      <c r="G81" s="8">
        <f t="shared" si="5"/>
        <v>0.93388429752066116</v>
      </c>
      <c r="H81" s="9">
        <f>C81*Assumptions!$B$2/(Assumptions!$B$5*60*Assumptions!$B$3)</f>
        <v>26.588235294117649</v>
      </c>
      <c r="I81">
        <f>ROUNDUP(H81/(1-Assumptions!$B$4),0)</f>
        <v>38</v>
      </c>
      <c r="J81" s="9">
        <f>D81*Assumptions!$B$2/(Assumptions!$B$5*60*Assumptions!$B$3)</f>
        <v>28.470588235294116</v>
      </c>
    </row>
    <row r="82" spans="1:10">
      <c r="A82" s="6">
        <v>46276</v>
      </c>
      <c r="B82" s="7">
        <v>46272.333333333336</v>
      </c>
      <c r="C82">
        <v>76</v>
      </c>
      <c r="D82">
        <v>79</v>
      </c>
      <c r="E82">
        <f t="shared" si="3"/>
        <v>3</v>
      </c>
      <c r="F82">
        <f t="shared" si="4"/>
        <v>3</v>
      </c>
      <c r="G82" s="8">
        <f t="shared" si="5"/>
        <v>0.96202531645569622</v>
      </c>
      <c r="H82" s="9">
        <f>C82*Assumptions!$B$2/(Assumptions!$B$5*60*Assumptions!$B$3)</f>
        <v>17.882352941176471</v>
      </c>
      <c r="I82">
        <f>ROUNDUP(H82/(1-Assumptions!$B$4),0)</f>
        <v>26</v>
      </c>
      <c r="J82" s="9">
        <f>D82*Assumptions!$B$2/(Assumptions!$B$5*60*Assumptions!$B$3)</f>
        <v>18.588235294117649</v>
      </c>
    </row>
    <row r="83" spans="1:10">
      <c r="A83" s="6">
        <v>46276</v>
      </c>
      <c r="B83" s="7">
        <v>46272.354166666664</v>
      </c>
      <c r="C83">
        <v>113</v>
      </c>
      <c r="D83">
        <v>115</v>
      </c>
      <c r="E83">
        <f t="shared" si="3"/>
        <v>2</v>
      </c>
      <c r="F83">
        <f t="shared" si="4"/>
        <v>2</v>
      </c>
      <c r="G83" s="8">
        <f t="shared" si="5"/>
        <v>0.9826086956521739</v>
      </c>
      <c r="H83" s="9">
        <f>C83*Assumptions!$B$2/(Assumptions!$B$5*60*Assumptions!$B$3)</f>
        <v>26.588235294117649</v>
      </c>
      <c r="I83">
        <f>ROUNDUP(H83/(1-Assumptions!$B$4),0)</f>
        <v>38</v>
      </c>
      <c r="J83" s="9">
        <f>D83*Assumptions!$B$2/(Assumptions!$B$5*60*Assumptions!$B$3)</f>
        <v>27.058823529411764</v>
      </c>
    </row>
    <row r="84" spans="1:10">
      <c r="A84" s="6">
        <v>46276</v>
      </c>
      <c r="B84" s="7">
        <v>46272.375</v>
      </c>
      <c r="C84">
        <v>139</v>
      </c>
      <c r="D84">
        <v>124</v>
      </c>
      <c r="E84">
        <f t="shared" si="3"/>
        <v>-15</v>
      </c>
      <c r="F84">
        <f t="shared" si="4"/>
        <v>15</v>
      </c>
      <c r="G84" s="8">
        <f t="shared" si="5"/>
        <v>0.87903225806451613</v>
      </c>
      <c r="H84" s="9">
        <f>C84*Assumptions!$B$2/(Assumptions!$B$5*60*Assumptions!$B$3)</f>
        <v>32.705882352941174</v>
      </c>
      <c r="I84">
        <f>ROUNDUP(H84/(1-Assumptions!$B$4),0)</f>
        <v>47</v>
      </c>
      <c r="J84" s="9">
        <f>D84*Assumptions!$B$2/(Assumptions!$B$5*60*Assumptions!$B$3)</f>
        <v>29.176470588235293</v>
      </c>
    </row>
    <row r="85" spans="1:10">
      <c r="A85" s="6">
        <v>46276</v>
      </c>
      <c r="B85" s="7">
        <v>46272.395833333336</v>
      </c>
      <c r="C85">
        <v>166</v>
      </c>
      <c r="D85">
        <v>184</v>
      </c>
      <c r="E85">
        <f t="shared" si="3"/>
        <v>18</v>
      </c>
      <c r="F85">
        <f t="shared" si="4"/>
        <v>18</v>
      </c>
      <c r="G85" s="8">
        <f t="shared" si="5"/>
        <v>0.90217391304347827</v>
      </c>
      <c r="H85" s="9">
        <f>C85*Assumptions!$B$2/(Assumptions!$B$5*60*Assumptions!$B$3)</f>
        <v>39.058823529411768</v>
      </c>
      <c r="I85">
        <f>ROUNDUP(H85/(1-Assumptions!$B$4),0)</f>
        <v>56</v>
      </c>
      <c r="J85" s="9">
        <f>D85*Assumptions!$B$2/(Assumptions!$B$5*60*Assumptions!$B$3)</f>
        <v>43.294117647058826</v>
      </c>
    </row>
    <row r="86" spans="1:10">
      <c r="A86" s="6">
        <v>46276</v>
      </c>
      <c r="B86" s="7">
        <v>46272.416666666664</v>
      </c>
      <c r="C86">
        <v>193</v>
      </c>
      <c r="D86">
        <v>172</v>
      </c>
      <c r="E86">
        <f t="shared" si="3"/>
        <v>-21</v>
      </c>
      <c r="F86">
        <f t="shared" si="4"/>
        <v>21</v>
      </c>
      <c r="G86" s="8">
        <f t="shared" si="5"/>
        <v>0.87790697674418605</v>
      </c>
      <c r="H86" s="9">
        <f>C86*Assumptions!$B$2/(Assumptions!$B$5*60*Assumptions!$B$3)</f>
        <v>45.411764705882355</v>
      </c>
      <c r="I86">
        <f>ROUNDUP(H86/(1-Assumptions!$B$4),0)</f>
        <v>65</v>
      </c>
      <c r="J86" s="9">
        <f>D86*Assumptions!$B$2/(Assumptions!$B$5*60*Assumptions!$B$3)</f>
        <v>40.470588235294116</v>
      </c>
    </row>
    <row r="87" spans="1:10">
      <c r="A87" s="6">
        <v>46276</v>
      </c>
      <c r="B87" s="7">
        <v>46272.4375</v>
      </c>
      <c r="C87">
        <v>234</v>
      </c>
      <c r="D87">
        <v>223</v>
      </c>
      <c r="E87">
        <f t="shared" si="3"/>
        <v>-11</v>
      </c>
      <c r="F87">
        <f t="shared" si="4"/>
        <v>11</v>
      </c>
      <c r="G87" s="8">
        <f t="shared" si="5"/>
        <v>0.95067264573991028</v>
      </c>
      <c r="H87" s="9">
        <f>C87*Assumptions!$B$2/(Assumptions!$B$5*60*Assumptions!$B$3)</f>
        <v>55.058823529411768</v>
      </c>
      <c r="I87">
        <f>ROUNDUP(H87/(1-Assumptions!$B$4),0)</f>
        <v>79</v>
      </c>
      <c r="J87" s="9">
        <f>D87*Assumptions!$B$2/(Assumptions!$B$5*60*Assumptions!$B$3)</f>
        <v>52.470588235294116</v>
      </c>
    </row>
    <row r="88" spans="1:10">
      <c r="A88" s="6">
        <v>46276</v>
      </c>
      <c r="B88" s="7">
        <v>46272.458333333336</v>
      </c>
      <c r="C88">
        <v>250</v>
      </c>
      <c r="D88">
        <v>234</v>
      </c>
      <c r="E88">
        <f t="shared" si="3"/>
        <v>-16</v>
      </c>
      <c r="F88">
        <f t="shared" si="4"/>
        <v>16</v>
      </c>
      <c r="G88" s="8">
        <f t="shared" si="5"/>
        <v>0.93162393162393164</v>
      </c>
      <c r="H88" s="9">
        <f>C88*Assumptions!$B$2/(Assumptions!$B$5*60*Assumptions!$B$3)</f>
        <v>58.823529411764703</v>
      </c>
      <c r="I88">
        <f>ROUNDUP(H88/(1-Assumptions!$B$4),0)</f>
        <v>85</v>
      </c>
      <c r="J88" s="9">
        <f>D88*Assumptions!$B$2/(Assumptions!$B$5*60*Assumptions!$B$3)</f>
        <v>55.058823529411768</v>
      </c>
    </row>
    <row r="89" spans="1:10">
      <c r="A89" s="6">
        <v>46276</v>
      </c>
      <c r="B89" s="7">
        <v>46272.479166666664</v>
      </c>
      <c r="C89">
        <v>226</v>
      </c>
      <c r="D89">
        <v>213</v>
      </c>
      <c r="E89">
        <f t="shared" si="3"/>
        <v>-13</v>
      </c>
      <c r="F89">
        <f t="shared" si="4"/>
        <v>13</v>
      </c>
      <c r="G89" s="8">
        <f t="shared" si="5"/>
        <v>0.93896713615023475</v>
      </c>
      <c r="H89" s="9">
        <f>C89*Assumptions!$B$2/(Assumptions!$B$5*60*Assumptions!$B$3)</f>
        <v>53.176470588235297</v>
      </c>
      <c r="I89">
        <f>ROUNDUP(H89/(1-Assumptions!$B$4),0)</f>
        <v>76</v>
      </c>
      <c r="J89" s="9">
        <f>D89*Assumptions!$B$2/(Assumptions!$B$5*60*Assumptions!$B$3)</f>
        <v>50.117647058823529</v>
      </c>
    </row>
    <row r="90" spans="1:10">
      <c r="A90" s="6">
        <v>46276</v>
      </c>
      <c r="B90" s="7">
        <v>46272.5</v>
      </c>
      <c r="C90">
        <v>221</v>
      </c>
      <c r="D90">
        <v>231</v>
      </c>
      <c r="E90">
        <f t="shared" si="3"/>
        <v>10</v>
      </c>
      <c r="F90">
        <f t="shared" si="4"/>
        <v>10</v>
      </c>
      <c r="G90" s="8">
        <f t="shared" si="5"/>
        <v>0.95670995670995673</v>
      </c>
      <c r="H90" s="9">
        <f>C90*Assumptions!$B$2/(Assumptions!$B$5*60*Assumptions!$B$3)</f>
        <v>52</v>
      </c>
      <c r="I90">
        <f>ROUNDUP(H90/(1-Assumptions!$B$4),0)</f>
        <v>75</v>
      </c>
      <c r="J90" s="9">
        <f>D90*Assumptions!$B$2/(Assumptions!$B$5*60*Assumptions!$B$3)</f>
        <v>54.352941176470587</v>
      </c>
    </row>
    <row r="91" spans="1:10">
      <c r="A91" s="6">
        <v>46276</v>
      </c>
      <c r="B91" s="7">
        <v>46272.520833333336</v>
      </c>
      <c r="C91">
        <v>178</v>
      </c>
      <c r="D91">
        <v>187</v>
      </c>
      <c r="E91">
        <f t="shared" si="3"/>
        <v>9</v>
      </c>
      <c r="F91">
        <f t="shared" si="4"/>
        <v>9</v>
      </c>
      <c r="G91" s="8">
        <f t="shared" si="5"/>
        <v>0.95187165775401072</v>
      </c>
      <c r="H91" s="9">
        <f>C91*Assumptions!$B$2/(Assumptions!$B$5*60*Assumptions!$B$3)</f>
        <v>41.882352941176471</v>
      </c>
      <c r="I91">
        <f>ROUNDUP(H91/(1-Assumptions!$B$4),0)</f>
        <v>60</v>
      </c>
      <c r="J91" s="9">
        <f>D91*Assumptions!$B$2/(Assumptions!$B$5*60*Assumptions!$B$3)</f>
        <v>44</v>
      </c>
    </row>
    <row r="92" spans="1:10">
      <c r="A92" s="6">
        <v>46276</v>
      </c>
      <c r="B92" s="7">
        <v>46272.541666666664</v>
      </c>
      <c r="C92">
        <v>174</v>
      </c>
      <c r="D92">
        <v>173</v>
      </c>
      <c r="E92">
        <f t="shared" si="3"/>
        <v>-1</v>
      </c>
      <c r="F92">
        <f t="shared" si="4"/>
        <v>1</v>
      </c>
      <c r="G92" s="8">
        <f t="shared" si="5"/>
        <v>0.9942196531791907</v>
      </c>
      <c r="H92" s="9">
        <f>C92*Assumptions!$B$2/(Assumptions!$B$5*60*Assumptions!$B$3)</f>
        <v>40.941176470588232</v>
      </c>
      <c r="I92">
        <f>ROUNDUP(H92/(1-Assumptions!$B$4),0)</f>
        <v>59</v>
      </c>
      <c r="J92" s="9">
        <f>D92*Assumptions!$B$2/(Assumptions!$B$5*60*Assumptions!$B$3)</f>
        <v>40.705882352941174</v>
      </c>
    </row>
    <row r="93" spans="1:10">
      <c r="A93" s="6">
        <v>46276</v>
      </c>
      <c r="B93" s="7">
        <v>46272.5625</v>
      </c>
      <c r="C93">
        <v>164</v>
      </c>
      <c r="D93">
        <v>145</v>
      </c>
      <c r="E93">
        <f t="shared" si="3"/>
        <v>-19</v>
      </c>
      <c r="F93">
        <f t="shared" si="4"/>
        <v>19</v>
      </c>
      <c r="G93" s="8">
        <f t="shared" si="5"/>
        <v>0.86896551724137927</v>
      </c>
      <c r="H93" s="9">
        <f>C93*Assumptions!$B$2/(Assumptions!$B$5*60*Assumptions!$B$3)</f>
        <v>38.588235294117645</v>
      </c>
      <c r="I93">
        <f>ROUNDUP(H93/(1-Assumptions!$B$4),0)</f>
        <v>56</v>
      </c>
      <c r="J93" s="9">
        <f>D93*Assumptions!$B$2/(Assumptions!$B$5*60*Assumptions!$B$3)</f>
        <v>34.117647058823529</v>
      </c>
    </row>
    <row r="94" spans="1:10">
      <c r="A94" s="6">
        <v>46276</v>
      </c>
      <c r="B94" s="7">
        <v>46272.583333333336</v>
      </c>
      <c r="C94">
        <v>194</v>
      </c>
      <c r="D94">
        <v>175</v>
      </c>
      <c r="E94">
        <f t="shared" si="3"/>
        <v>-19</v>
      </c>
      <c r="F94">
        <f t="shared" si="4"/>
        <v>19</v>
      </c>
      <c r="G94" s="8">
        <f t="shared" si="5"/>
        <v>0.89142857142857146</v>
      </c>
      <c r="H94" s="9">
        <f>C94*Assumptions!$B$2/(Assumptions!$B$5*60*Assumptions!$B$3)</f>
        <v>45.647058823529413</v>
      </c>
      <c r="I94">
        <f>ROUNDUP(H94/(1-Assumptions!$B$4),0)</f>
        <v>66</v>
      </c>
      <c r="J94" s="9">
        <f>D94*Assumptions!$B$2/(Assumptions!$B$5*60*Assumptions!$B$3)</f>
        <v>41.176470588235297</v>
      </c>
    </row>
    <row r="95" spans="1:10">
      <c r="A95" s="6">
        <v>46276</v>
      </c>
      <c r="B95" s="7">
        <v>46272.604166666664</v>
      </c>
      <c r="C95">
        <v>177</v>
      </c>
      <c r="D95">
        <v>158</v>
      </c>
      <c r="E95">
        <f t="shared" si="3"/>
        <v>-19</v>
      </c>
      <c r="F95">
        <f t="shared" si="4"/>
        <v>19</v>
      </c>
      <c r="G95" s="8">
        <f t="shared" si="5"/>
        <v>0.879746835443038</v>
      </c>
      <c r="H95" s="9">
        <f>C95*Assumptions!$B$2/(Assumptions!$B$5*60*Assumptions!$B$3)</f>
        <v>41.647058823529413</v>
      </c>
      <c r="I95">
        <f>ROUNDUP(H95/(1-Assumptions!$B$4),0)</f>
        <v>60</v>
      </c>
      <c r="J95" s="9">
        <f>D95*Assumptions!$B$2/(Assumptions!$B$5*60*Assumptions!$B$3)</f>
        <v>37.176470588235297</v>
      </c>
    </row>
    <row r="96" spans="1:10">
      <c r="A96" s="6">
        <v>46276</v>
      </c>
      <c r="B96" s="7">
        <v>46272.625</v>
      </c>
      <c r="C96">
        <v>176</v>
      </c>
      <c r="D96">
        <v>197</v>
      </c>
      <c r="E96">
        <f t="shared" si="3"/>
        <v>21</v>
      </c>
      <c r="F96">
        <f t="shared" si="4"/>
        <v>21</v>
      </c>
      <c r="G96" s="8">
        <f t="shared" si="5"/>
        <v>0.89340101522842641</v>
      </c>
      <c r="H96" s="9">
        <f>C96*Assumptions!$B$2/(Assumptions!$B$5*60*Assumptions!$B$3)</f>
        <v>41.411764705882355</v>
      </c>
      <c r="I96">
        <f>ROUNDUP(H96/(1-Assumptions!$B$4),0)</f>
        <v>60</v>
      </c>
      <c r="J96" s="9">
        <f>D96*Assumptions!$B$2/(Assumptions!$B$5*60*Assumptions!$B$3)</f>
        <v>46.352941176470587</v>
      </c>
    </row>
    <row r="97" spans="1:10">
      <c r="A97" s="6">
        <v>46276</v>
      </c>
      <c r="B97" s="7">
        <v>46272.645833333336</v>
      </c>
      <c r="C97">
        <v>158</v>
      </c>
      <c r="D97">
        <v>175</v>
      </c>
      <c r="E97">
        <f t="shared" si="3"/>
        <v>17</v>
      </c>
      <c r="F97">
        <f t="shared" si="4"/>
        <v>17</v>
      </c>
      <c r="G97" s="8">
        <f t="shared" si="5"/>
        <v>0.9028571428571428</v>
      </c>
      <c r="H97" s="9">
        <f>C97*Assumptions!$B$2/(Assumptions!$B$5*60*Assumptions!$B$3)</f>
        <v>37.176470588235297</v>
      </c>
      <c r="I97">
        <f>ROUNDUP(H97/(1-Assumptions!$B$4),0)</f>
        <v>54</v>
      </c>
      <c r="J97" s="9">
        <f>D97*Assumptions!$B$2/(Assumptions!$B$5*60*Assumptions!$B$3)</f>
        <v>41.176470588235297</v>
      </c>
    </row>
    <row r="98" spans="1:10">
      <c r="A98" s="6">
        <v>46276</v>
      </c>
      <c r="B98" s="7">
        <v>46272.666666666664</v>
      </c>
      <c r="C98">
        <v>143</v>
      </c>
      <c r="D98">
        <v>128</v>
      </c>
      <c r="E98">
        <f t="shared" si="3"/>
        <v>-15</v>
      </c>
      <c r="F98">
        <f t="shared" si="4"/>
        <v>15</v>
      </c>
      <c r="G98" s="8">
        <f t="shared" si="5"/>
        <v>0.8828125</v>
      </c>
      <c r="H98" s="9">
        <f>C98*Assumptions!$B$2/(Assumptions!$B$5*60*Assumptions!$B$3)</f>
        <v>33.647058823529413</v>
      </c>
      <c r="I98">
        <f>ROUNDUP(H98/(1-Assumptions!$B$4),0)</f>
        <v>49</v>
      </c>
      <c r="J98" s="9">
        <f>D98*Assumptions!$B$2/(Assumptions!$B$5*60*Assumptions!$B$3)</f>
        <v>30.117647058823529</v>
      </c>
    </row>
    <row r="99" spans="1:10">
      <c r="A99" s="6">
        <v>46276</v>
      </c>
      <c r="B99" s="7">
        <v>46272.6875</v>
      </c>
      <c r="C99">
        <v>122</v>
      </c>
      <c r="D99">
        <v>126</v>
      </c>
      <c r="E99">
        <f t="shared" si="3"/>
        <v>4</v>
      </c>
      <c r="F99">
        <f t="shared" si="4"/>
        <v>4</v>
      </c>
      <c r="G99" s="8">
        <f t="shared" si="5"/>
        <v>0.96825396825396826</v>
      </c>
      <c r="H99" s="9">
        <f>C99*Assumptions!$B$2/(Assumptions!$B$5*60*Assumptions!$B$3)</f>
        <v>28.705882352941178</v>
      </c>
      <c r="I99">
        <f>ROUNDUP(H99/(1-Assumptions!$B$4),0)</f>
        <v>42</v>
      </c>
      <c r="J99" s="9">
        <f>D99*Assumptions!$B$2/(Assumptions!$B$5*60*Assumptions!$B$3)</f>
        <v>29.647058823529413</v>
      </c>
    </row>
    <row r="100" spans="1:10">
      <c r="A100" s="6">
        <v>46276</v>
      </c>
      <c r="B100" s="7">
        <v>46272.708333333336</v>
      </c>
      <c r="C100">
        <v>126</v>
      </c>
      <c r="D100">
        <v>134</v>
      </c>
      <c r="E100">
        <f t="shared" si="3"/>
        <v>8</v>
      </c>
      <c r="F100">
        <f t="shared" si="4"/>
        <v>8</v>
      </c>
      <c r="G100" s="8">
        <f t="shared" si="5"/>
        <v>0.94029850746268662</v>
      </c>
      <c r="H100" s="9">
        <f>C100*Assumptions!$B$2/(Assumptions!$B$5*60*Assumptions!$B$3)</f>
        <v>29.647058823529413</v>
      </c>
      <c r="I100">
        <f>ROUNDUP(H100/(1-Assumptions!$B$4),0)</f>
        <v>43</v>
      </c>
      <c r="J100" s="9">
        <f>D100*Assumptions!$B$2/(Assumptions!$B$5*60*Assumptions!$B$3)</f>
        <v>31.529411764705884</v>
      </c>
    </row>
    <row r="101" spans="1:10">
      <c r="A101" s="6">
        <v>46276</v>
      </c>
      <c r="B101" s="7">
        <v>46272.729166666664</v>
      </c>
      <c r="C101">
        <v>110</v>
      </c>
      <c r="D101">
        <v>100</v>
      </c>
      <c r="E101">
        <f t="shared" si="3"/>
        <v>-10</v>
      </c>
      <c r="F101">
        <f t="shared" si="4"/>
        <v>10</v>
      </c>
      <c r="G101" s="8">
        <f t="shared" si="5"/>
        <v>0.9</v>
      </c>
      <c r="H101" s="9">
        <f>C101*Assumptions!$B$2/(Assumptions!$B$5*60*Assumptions!$B$3)</f>
        <v>25.882352941176471</v>
      </c>
      <c r="I101">
        <f>ROUNDUP(H101/(1-Assumptions!$B$4),0)</f>
        <v>37</v>
      </c>
      <c r="J101" s="9">
        <f>D101*Assumptions!$B$2/(Assumptions!$B$5*60*Assumptions!$B$3)</f>
        <v>23.529411764705884</v>
      </c>
    </row>
    <row r="102" spans="1:10">
      <c r="A102" s="6">
        <v>46277</v>
      </c>
      <c r="B102" s="7">
        <v>46272.333333333336</v>
      </c>
      <c r="C102">
        <v>65</v>
      </c>
      <c r="D102">
        <v>72</v>
      </c>
      <c r="E102">
        <f t="shared" si="3"/>
        <v>7</v>
      </c>
      <c r="F102">
        <f t="shared" si="4"/>
        <v>7</v>
      </c>
      <c r="G102" s="8">
        <f t="shared" si="5"/>
        <v>0.90277777777777779</v>
      </c>
      <c r="H102" s="9">
        <f>C102*Assumptions!$B$2/(Assumptions!$B$5*60*Assumptions!$B$3)</f>
        <v>15.294117647058824</v>
      </c>
      <c r="I102">
        <f>ROUNDUP(H102/(1-Assumptions!$B$4),0)</f>
        <v>22</v>
      </c>
      <c r="J102" s="9">
        <f>D102*Assumptions!$B$2/(Assumptions!$B$5*60*Assumptions!$B$3)</f>
        <v>16.941176470588236</v>
      </c>
    </row>
    <row r="103" spans="1:10">
      <c r="A103" s="6">
        <v>46277</v>
      </c>
      <c r="B103" s="7">
        <v>46272.354166666664</v>
      </c>
      <c r="C103">
        <v>94</v>
      </c>
      <c r="D103">
        <v>87</v>
      </c>
      <c r="E103">
        <f t="shared" si="3"/>
        <v>-7</v>
      </c>
      <c r="F103">
        <f t="shared" si="4"/>
        <v>7</v>
      </c>
      <c r="G103" s="8">
        <f t="shared" si="5"/>
        <v>0.91954022988505746</v>
      </c>
      <c r="H103" s="9">
        <f>C103*Assumptions!$B$2/(Assumptions!$B$5*60*Assumptions!$B$3)</f>
        <v>22.117647058823529</v>
      </c>
      <c r="I103">
        <f>ROUNDUP(H103/(1-Assumptions!$B$4),0)</f>
        <v>32</v>
      </c>
      <c r="J103" s="9">
        <f>D103*Assumptions!$B$2/(Assumptions!$B$5*60*Assumptions!$B$3)</f>
        <v>20.470588235294116</v>
      </c>
    </row>
    <row r="104" spans="1:10">
      <c r="A104" s="6">
        <v>46277</v>
      </c>
      <c r="B104" s="7">
        <v>46272.375</v>
      </c>
      <c r="C104">
        <v>118</v>
      </c>
      <c r="D104">
        <v>131</v>
      </c>
      <c r="E104">
        <f t="shared" si="3"/>
        <v>13</v>
      </c>
      <c r="F104">
        <f t="shared" si="4"/>
        <v>13</v>
      </c>
      <c r="G104" s="8">
        <f t="shared" si="5"/>
        <v>0.9007633587786259</v>
      </c>
      <c r="H104" s="9">
        <f>C104*Assumptions!$B$2/(Assumptions!$B$5*60*Assumptions!$B$3)</f>
        <v>27.764705882352942</v>
      </c>
      <c r="I104">
        <f>ROUNDUP(H104/(1-Assumptions!$B$4),0)</f>
        <v>40</v>
      </c>
      <c r="J104" s="9">
        <f>D104*Assumptions!$B$2/(Assumptions!$B$5*60*Assumptions!$B$3)</f>
        <v>30.823529411764707</v>
      </c>
    </row>
    <row r="105" spans="1:10">
      <c r="A105" s="6">
        <v>46277</v>
      </c>
      <c r="B105" s="7">
        <v>46272.395833333336</v>
      </c>
      <c r="C105">
        <v>142</v>
      </c>
      <c r="D105">
        <v>128</v>
      </c>
      <c r="E105">
        <f t="shared" si="3"/>
        <v>-14</v>
      </c>
      <c r="F105">
        <f t="shared" si="4"/>
        <v>14</v>
      </c>
      <c r="G105" s="8">
        <f t="shared" si="5"/>
        <v>0.890625</v>
      </c>
      <c r="H105" s="9">
        <f>C105*Assumptions!$B$2/(Assumptions!$B$5*60*Assumptions!$B$3)</f>
        <v>33.411764705882355</v>
      </c>
      <c r="I105">
        <f>ROUNDUP(H105/(1-Assumptions!$B$4),0)</f>
        <v>48</v>
      </c>
      <c r="J105" s="9">
        <f>D105*Assumptions!$B$2/(Assumptions!$B$5*60*Assumptions!$B$3)</f>
        <v>30.117647058823529</v>
      </c>
    </row>
    <row r="106" spans="1:10">
      <c r="A106" s="6">
        <v>46277</v>
      </c>
      <c r="B106" s="7">
        <v>46272.416666666664</v>
      </c>
      <c r="C106">
        <v>176</v>
      </c>
      <c r="D106">
        <v>182</v>
      </c>
      <c r="E106">
        <f t="shared" si="3"/>
        <v>6</v>
      </c>
      <c r="F106">
        <f t="shared" si="4"/>
        <v>6</v>
      </c>
      <c r="G106" s="8">
        <f t="shared" si="5"/>
        <v>0.96703296703296704</v>
      </c>
      <c r="H106" s="9">
        <f>C106*Assumptions!$B$2/(Assumptions!$B$5*60*Assumptions!$B$3)</f>
        <v>41.411764705882355</v>
      </c>
      <c r="I106">
        <f>ROUNDUP(H106/(1-Assumptions!$B$4),0)</f>
        <v>60</v>
      </c>
      <c r="J106" s="9">
        <f>D106*Assumptions!$B$2/(Assumptions!$B$5*60*Assumptions!$B$3)</f>
        <v>42.823529411764703</v>
      </c>
    </row>
    <row r="107" spans="1:10">
      <c r="A107" s="6">
        <v>46277</v>
      </c>
      <c r="B107" s="7">
        <v>46272.4375</v>
      </c>
      <c r="C107">
        <v>196</v>
      </c>
      <c r="D107">
        <v>194</v>
      </c>
      <c r="E107">
        <f t="shared" si="3"/>
        <v>-2</v>
      </c>
      <c r="F107">
        <f t="shared" si="4"/>
        <v>2</v>
      </c>
      <c r="G107" s="8">
        <f t="shared" si="5"/>
        <v>0.98969072164948457</v>
      </c>
      <c r="H107" s="9">
        <f>C107*Assumptions!$B$2/(Assumptions!$B$5*60*Assumptions!$B$3)</f>
        <v>46.117647058823529</v>
      </c>
      <c r="I107">
        <f>ROUNDUP(H107/(1-Assumptions!$B$4),0)</f>
        <v>66</v>
      </c>
      <c r="J107" s="9">
        <f>D107*Assumptions!$B$2/(Assumptions!$B$5*60*Assumptions!$B$3)</f>
        <v>45.647058823529413</v>
      </c>
    </row>
    <row r="108" spans="1:10">
      <c r="A108" s="6">
        <v>46277</v>
      </c>
      <c r="B108" s="7">
        <v>46272.458333333336</v>
      </c>
      <c r="C108">
        <v>207</v>
      </c>
      <c r="D108">
        <v>216</v>
      </c>
      <c r="E108">
        <f t="shared" si="3"/>
        <v>9</v>
      </c>
      <c r="F108">
        <f t="shared" si="4"/>
        <v>9</v>
      </c>
      <c r="G108" s="8">
        <f t="shared" si="5"/>
        <v>0.95833333333333337</v>
      </c>
      <c r="H108" s="9">
        <f>C108*Assumptions!$B$2/(Assumptions!$B$5*60*Assumptions!$B$3)</f>
        <v>48.705882352941174</v>
      </c>
      <c r="I108">
        <f>ROUNDUP(H108/(1-Assumptions!$B$4),0)</f>
        <v>70</v>
      </c>
      <c r="J108" s="9">
        <f>D108*Assumptions!$B$2/(Assumptions!$B$5*60*Assumptions!$B$3)</f>
        <v>50.823529411764703</v>
      </c>
    </row>
    <row r="109" spans="1:10">
      <c r="A109" s="6">
        <v>46277</v>
      </c>
      <c r="B109" s="7">
        <v>46272.479166666664</v>
      </c>
      <c r="C109">
        <v>194</v>
      </c>
      <c r="D109">
        <v>196</v>
      </c>
      <c r="E109">
        <f t="shared" si="3"/>
        <v>2</v>
      </c>
      <c r="F109">
        <f t="shared" si="4"/>
        <v>2</v>
      </c>
      <c r="G109" s="8">
        <f t="shared" si="5"/>
        <v>0.98979591836734693</v>
      </c>
      <c r="H109" s="9">
        <f>C109*Assumptions!$B$2/(Assumptions!$B$5*60*Assumptions!$B$3)</f>
        <v>45.647058823529413</v>
      </c>
      <c r="I109">
        <f>ROUNDUP(H109/(1-Assumptions!$B$4),0)</f>
        <v>66</v>
      </c>
      <c r="J109" s="9">
        <f>D109*Assumptions!$B$2/(Assumptions!$B$5*60*Assumptions!$B$3)</f>
        <v>46.117647058823529</v>
      </c>
    </row>
    <row r="110" spans="1:10">
      <c r="A110" s="6">
        <v>46277</v>
      </c>
      <c r="B110" s="7">
        <v>46272.5</v>
      </c>
      <c r="C110">
        <v>192</v>
      </c>
      <c r="D110">
        <v>199</v>
      </c>
      <c r="E110">
        <f t="shared" si="3"/>
        <v>7</v>
      </c>
      <c r="F110">
        <f t="shared" si="4"/>
        <v>7</v>
      </c>
      <c r="G110" s="8">
        <f t="shared" si="5"/>
        <v>0.96482412060301503</v>
      </c>
      <c r="H110" s="9">
        <f>C110*Assumptions!$B$2/(Assumptions!$B$5*60*Assumptions!$B$3)</f>
        <v>45.176470588235297</v>
      </c>
      <c r="I110">
        <f>ROUNDUP(H110/(1-Assumptions!$B$4),0)</f>
        <v>65</v>
      </c>
      <c r="J110" s="9">
        <f>D110*Assumptions!$B$2/(Assumptions!$B$5*60*Assumptions!$B$3)</f>
        <v>46.823529411764703</v>
      </c>
    </row>
    <row r="111" spans="1:10">
      <c r="A111" s="6">
        <v>46277</v>
      </c>
      <c r="B111" s="7">
        <v>46272.520833333336</v>
      </c>
      <c r="C111">
        <v>156</v>
      </c>
      <c r="D111">
        <v>142</v>
      </c>
      <c r="E111">
        <f t="shared" si="3"/>
        <v>-14</v>
      </c>
      <c r="F111">
        <f t="shared" si="4"/>
        <v>14</v>
      </c>
      <c r="G111" s="8">
        <f t="shared" si="5"/>
        <v>0.90140845070422537</v>
      </c>
      <c r="H111" s="9">
        <f>C111*Assumptions!$B$2/(Assumptions!$B$5*60*Assumptions!$B$3)</f>
        <v>36.705882352941174</v>
      </c>
      <c r="I111">
        <f>ROUNDUP(H111/(1-Assumptions!$B$4),0)</f>
        <v>53</v>
      </c>
      <c r="J111" s="9">
        <f>D111*Assumptions!$B$2/(Assumptions!$B$5*60*Assumptions!$B$3)</f>
        <v>33.411764705882355</v>
      </c>
    </row>
    <row r="112" spans="1:10">
      <c r="A112" s="6">
        <v>46277</v>
      </c>
      <c r="B112" s="7">
        <v>46272.541666666664</v>
      </c>
      <c r="C112">
        <v>145</v>
      </c>
      <c r="D112">
        <v>129</v>
      </c>
      <c r="E112">
        <f t="shared" si="3"/>
        <v>-16</v>
      </c>
      <c r="F112">
        <f t="shared" si="4"/>
        <v>16</v>
      </c>
      <c r="G112" s="8">
        <f t="shared" si="5"/>
        <v>0.87596899224806202</v>
      </c>
      <c r="H112" s="9">
        <f>C112*Assumptions!$B$2/(Assumptions!$B$5*60*Assumptions!$B$3)</f>
        <v>34.117647058823529</v>
      </c>
      <c r="I112">
        <f>ROUNDUP(H112/(1-Assumptions!$B$4),0)</f>
        <v>49</v>
      </c>
      <c r="J112" s="9">
        <f>D112*Assumptions!$B$2/(Assumptions!$B$5*60*Assumptions!$B$3)</f>
        <v>30.352941176470587</v>
      </c>
    </row>
    <row r="113" spans="1:10">
      <c r="A113" s="6">
        <v>46277</v>
      </c>
      <c r="B113" s="7">
        <v>46272.5625</v>
      </c>
      <c r="C113">
        <v>149</v>
      </c>
      <c r="D113">
        <v>148</v>
      </c>
      <c r="E113">
        <f t="shared" si="3"/>
        <v>-1</v>
      </c>
      <c r="F113">
        <f t="shared" si="4"/>
        <v>1</v>
      </c>
      <c r="G113" s="8">
        <f t="shared" si="5"/>
        <v>0.9932432432432432</v>
      </c>
      <c r="H113" s="9">
        <f>C113*Assumptions!$B$2/(Assumptions!$B$5*60*Assumptions!$B$3)</f>
        <v>35.058823529411768</v>
      </c>
      <c r="I113">
        <f>ROUNDUP(H113/(1-Assumptions!$B$4),0)</f>
        <v>51</v>
      </c>
      <c r="J113" s="9">
        <f>D113*Assumptions!$B$2/(Assumptions!$B$5*60*Assumptions!$B$3)</f>
        <v>34.823529411764703</v>
      </c>
    </row>
    <row r="114" spans="1:10">
      <c r="A114" s="6">
        <v>46277</v>
      </c>
      <c r="B114" s="7">
        <v>46272.583333333336</v>
      </c>
      <c r="C114">
        <v>158</v>
      </c>
      <c r="D114">
        <v>150</v>
      </c>
      <c r="E114">
        <f t="shared" si="3"/>
        <v>-8</v>
      </c>
      <c r="F114">
        <f t="shared" si="4"/>
        <v>8</v>
      </c>
      <c r="G114" s="8">
        <f t="shared" si="5"/>
        <v>0.94666666666666666</v>
      </c>
      <c r="H114" s="9">
        <f>C114*Assumptions!$B$2/(Assumptions!$B$5*60*Assumptions!$B$3)</f>
        <v>37.176470588235297</v>
      </c>
      <c r="I114">
        <f>ROUNDUP(H114/(1-Assumptions!$B$4),0)</f>
        <v>54</v>
      </c>
      <c r="J114" s="9">
        <f>D114*Assumptions!$B$2/(Assumptions!$B$5*60*Assumptions!$B$3)</f>
        <v>35.294117647058826</v>
      </c>
    </row>
    <row r="115" spans="1:10">
      <c r="A115" s="6">
        <v>46277</v>
      </c>
      <c r="B115" s="7">
        <v>46272.604166666664</v>
      </c>
      <c r="C115">
        <v>161</v>
      </c>
      <c r="D115">
        <v>159</v>
      </c>
      <c r="E115">
        <f t="shared" si="3"/>
        <v>-2</v>
      </c>
      <c r="F115">
        <f t="shared" si="4"/>
        <v>2</v>
      </c>
      <c r="G115" s="8">
        <f t="shared" si="5"/>
        <v>0.98742138364779874</v>
      </c>
      <c r="H115" s="9">
        <f>C115*Assumptions!$B$2/(Assumptions!$B$5*60*Assumptions!$B$3)</f>
        <v>37.882352941176471</v>
      </c>
      <c r="I115">
        <f>ROUNDUP(H115/(1-Assumptions!$B$4),0)</f>
        <v>55</v>
      </c>
      <c r="J115" s="9">
        <f>D115*Assumptions!$B$2/(Assumptions!$B$5*60*Assumptions!$B$3)</f>
        <v>37.411764705882355</v>
      </c>
    </row>
    <row r="116" spans="1:10">
      <c r="A116" s="6">
        <v>46277</v>
      </c>
      <c r="B116" s="7">
        <v>46272.625</v>
      </c>
      <c r="C116">
        <v>144</v>
      </c>
      <c r="D116">
        <v>134</v>
      </c>
      <c r="E116">
        <f t="shared" si="3"/>
        <v>-10</v>
      </c>
      <c r="F116">
        <f t="shared" si="4"/>
        <v>10</v>
      </c>
      <c r="G116" s="8">
        <f t="shared" si="5"/>
        <v>0.92537313432835822</v>
      </c>
      <c r="H116" s="9">
        <f>C116*Assumptions!$B$2/(Assumptions!$B$5*60*Assumptions!$B$3)</f>
        <v>33.882352941176471</v>
      </c>
      <c r="I116">
        <f>ROUNDUP(H116/(1-Assumptions!$B$4),0)</f>
        <v>49</v>
      </c>
      <c r="J116" s="9">
        <f>D116*Assumptions!$B$2/(Assumptions!$B$5*60*Assumptions!$B$3)</f>
        <v>31.529411764705884</v>
      </c>
    </row>
    <row r="117" spans="1:10">
      <c r="A117" s="6">
        <v>46277</v>
      </c>
      <c r="B117" s="7">
        <v>46272.645833333336</v>
      </c>
      <c r="C117">
        <v>127</v>
      </c>
      <c r="D117">
        <v>114</v>
      </c>
      <c r="E117">
        <f t="shared" si="3"/>
        <v>-13</v>
      </c>
      <c r="F117">
        <f t="shared" si="4"/>
        <v>13</v>
      </c>
      <c r="G117" s="8">
        <f t="shared" si="5"/>
        <v>0.88596491228070173</v>
      </c>
      <c r="H117" s="9">
        <f>C117*Assumptions!$B$2/(Assumptions!$B$5*60*Assumptions!$B$3)</f>
        <v>29.882352941176471</v>
      </c>
      <c r="I117">
        <f>ROUNDUP(H117/(1-Assumptions!$B$4),0)</f>
        <v>43</v>
      </c>
      <c r="J117" s="9">
        <f>D117*Assumptions!$B$2/(Assumptions!$B$5*60*Assumptions!$B$3)</f>
        <v>26.823529411764707</v>
      </c>
    </row>
    <row r="118" spans="1:10">
      <c r="A118" s="6">
        <v>46277</v>
      </c>
      <c r="B118" s="7">
        <v>46272.666666666664</v>
      </c>
      <c r="C118">
        <v>116</v>
      </c>
      <c r="D118">
        <v>123</v>
      </c>
      <c r="E118">
        <f t="shared" si="3"/>
        <v>7</v>
      </c>
      <c r="F118">
        <f t="shared" si="4"/>
        <v>7</v>
      </c>
      <c r="G118" s="8">
        <f t="shared" si="5"/>
        <v>0.94308943089430897</v>
      </c>
      <c r="H118" s="9">
        <f>C118*Assumptions!$B$2/(Assumptions!$B$5*60*Assumptions!$B$3)</f>
        <v>27.294117647058822</v>
      </c>
      <c r="I118">
        <f>ROUNDUP(H118/(1-Assumptions!$B$4),0)</f>
        <v>39</v>
      </c>
      <c r="J118" s="9">
        <f>D118*Assumptions!$B$2/(Assumptions!$B$5*60*Assumptions!$B$3)</f>
        <v>28.941176470588236</v>
      </c>
    </row>
    <row r="119" spans="1:10">
      <c r="A119" s="6">
        <v>46277</v>
      </c>
      <c r="B119" s="7">
        <v>46272.6875</v>
      </c>
      <c r="C119">
        <v>107</v>
      </c>
      <c r="D119">
        <v>99</v>
      </c>
      <c r="E119">
        <f t="shared" si="3"/>
        <v>-8</v>
      </c>
      <c r="F119">
        <f t="shared" si="4"/>
        <v>8</v>
      </c>
      <c r="G119" s="8">
        <f t="shared" si="5"/>
        <v>0.91919191919191923</v>
      </c>
      <c r="H119" s="9">
        <f>C119*Assumptions!$B$2/(Assumptions!$B$5*60*Assumptions!$B$3)</f>
        <v>25.176470588235293</v>
      </c>
      <c r="I119">
        <f>ROUNDUP(H119/(1-Assumptions!$B$4),0)</f>
        <v>36</v>
      </c>
      <c r="J119" s="9">
        <f>D119*Assumptions!$B$2/(Assumptions!$B$5*60*Assumptions!$B$3)</f>
        <v>23.294117647058822</v>
      </c>
    </row>
    <row r="120" spans="1:10">
      <c r="A120" s="6">
        <v>46277</v>
      </c>
      <c r="B120" s="7">
        <v>46272.708333333336</v>
      </c>
      <c r="C120">
        <v>101</v>
      </c>
      <c r="D120">
        <v>95</v>
      </c>
      <c r="E120">
        <f t="shared" si="3"/>
        <v>-6</v>
      </c>
      <c r="F120">
        <f t="shared" si="4"/>
        <v>6</v>
      </c>
      <c r="G120" s="8">
        <f t="shared" si="5"/>
        <v>0.93684210526315792</v>
      </c>
      <c r="H120" s="9">
        <f>C120*Assumptions!$B$2/(Assumptions!$B$5*60*Assumptions!$B$3)</f>
        <v>23.764705882352942</v>
      </c>
      <c r="I120">
        <f>ROUNDUP(H120/(1-Assumptions!$B$4),0)</f>
        <v>34</v>
      </c>
      <c r="J120" s="9">
        <f>D120*Assumptions!$B$2/(Assumptions!$B$5*60*Assumptions!$B$3)</f>
        <v>22.352941176470587</v>
      </c>
    </row>
    <row r="121" spans="1:10">
      <c r="A121" s="6">
        <v>46277</v>
      </c>
      <c r="B121" s="7">
        <v>46272.729166666664</v>
      </c>
      <c r="C121">
        <v>94</v>
      </c>
      <c r="D121">
        <v>88</v>
      </c>
      <c r="E121">
        <f t="shared" si="3"/>
        <v>-6</v>
      </c>
      <c r="F121">
        <f t="shared" si="4"/>
        <v>6</v>
      </c>
      <c r="G121" s="8">
        <f t="shared" si="5"/>
        <v>0.93181818181818188</v>
      </c>
      <c r="H121" s="9">
        <f>C121*Assumptions!$B$2/(Assumptions!$B$5*60*Assumptions!$B$3)</f>
        <v>22.117647058823529</v>
      </c>
      <c r="I121">
        <f>ROUNDUP(H121/(1-Assumptions!$B$4),0)</f>
        <v>32</v>
      </c>
      <c r="J121" s="9">
        <f>D121*Assumptions!$B$2/(Assumptions!$B$5*60*Assumptions!$B$3)</f>
        <v>20.705882352941178</v>
      </c>
    </row>
    <row r="122" spans="1:10">
      <c r="A122" s="6">
        <v>46278</v>
      </c>
      <c r="B122" s="7">
        <v>46272.333333333336</v>
      </c>
      <c r="C122">
        <v>63</v>
      </c>
      <c r="D122">
        <v>57</v>
      </c>
      <c r="E122">
        <f t="shared" si="3"/>
        <v>-6</v>
      </c>
      <c r="F122">
        <f t="shared" si="4"/>
        <v>6</v>
      </c>
      <c r="G122" s="8">
        <f t="shared" si="5"/>
        <v>0.89473684210526316</v>
      </c>
      <c r="H122" s="9">
        <f>C122*Assumptions!$B$2/(Assumptions!$B$5*60*Assumptions!$B$3)</f>
        <v>14.823529411764707</v>
      </c>
      <c r="I122">
        <f>ROUNDUP(H122/(1-Assumptions!$B$4),0)</f>
        <v>22</v>
      </c>
      <c r="J122" s="9">
        <f>D122*Assumptions!$B$2/(Assumptions!$B$5*60*Assumptions!$B$3)</f>
        <v>13.411764705882353</v>
      </c>
    </row>
    <row r="123" spans="1:10">
      <c r="A123" s="6">
        <v>46278</v>
      </c>
      <c r="B123" s="7">
        <v>46272.354166666664</v>
      </c>
      <c r="C123">
        <v>91</v>
      </c>
      <c r="D123">
        <v>93</v>
      </c>
      <c r="E123">
        <f t="shared" si="3"/>
        <v>2</v>
      </c>
      <c r="F123">
        <f t="shared" si="4"/>
        <v>2</v>
      </c>
      <c r="G123" s="8">
        <f t="shared" si="5"/>
        <v>0.978494623655914</v>
      </c>
      <c r="H123" s="9">
        <f>C123*Assumptions!$B$2/(Assumptions!$B$5*60*Assumptions!$B$3)</f>
        <v>21.411764705882351</v>
      </c>
      <c r="I123">
        <f>ROUNDUP(H123/(1-Assumptions!$B$4),0)</f>
        <v>31</v>
      </c>
      <c r="J123" s="9">
        <f>D123*Assumptions!$B$2/(Assumptions!$B$5*60*Assumptions!$B$3)</f>
        <v>21.882352941176471</v>
      </c>
    </row>
    <row r="124" spans="1:10">
      <c r="A124" s="6">
        <v>46278</v>
      </c>
      <c r="B124" s="7">
        <v>46272.375</v>
      </c>
      <c r="C124">
        <v>114</v>
      </c>
      <c r="D124">
        <v>127</v>
      </c>
      <c r="E124">
        <f t="shared" si="3"/>
        <v>13</v>
      </c>
      <c r="F124">
        <f t="shared" si="4"/>
        <v>13</v>
      </c>
      <c r="G124" s="8">
        <f t="shared" si="5"/>
        <v>0.89763779527559051</v>
      </c>
      <c r="H124" s="9">
        <f>C124*Assumptions!$B$2/(Assumptions!$B$5*60*Assumptions!$B$3)</f>
        <v>26.823529411764707</v>
      </c>
      <c r="I124">
        <f>ROUNDUP(H124/(1-Assumptions!$B$4),0)</f>
        <v>39</v>
      </c>
      <c r="J124" s="9">
        <f>D124*Assumptions!$B$2/(Assumptions!$B$5*60*Assumptions!$B$3)</f>
        <v>29.882352941176471</v>
      </c>
    </row>
    <row r="125" spans="1:10">
      <c r="A125" s="6">
        <v>46278</v>
      </c>
      <c r="B125" s="7">
        <v>46272.395833333336</v>
      </c>
      <c r="C125">
        <v>140</v>
      </c>
      <c r="D125">
        <v>132</v>
      </c>
      <c r="E125">
        <f t="shared" si="3"/>
        <v>-8</v>
      </c>
      <c r="F125">
        <f t="shared" si="4"/>
        <v>8</v>
      </c>
      <c r="G125" s="8">
        <f t="shared" si="5"/>
        <v>0.93939393939393945</v>
      </c>
      <c r="H125" s="9">
        <f>C125*Assumptions!$B$2/(Assumptions!$B$5*60*Assumptions!$B$3)</f>
        <v>32.941176470588232</v>
      </c>
      <c r="I125">
        <f>ROUNDUP(H125/(1-Assumptions!$B$4),0)</f>
        <v>48</v>
      </c>
      <c r="J125" s="9">
        <f>D125*Assumptions!$B$2/(Assumptions!$B$5*60*Assumptions!$B$3)</f>
        <v>31.058823529411764</v>
      </c>
    </row>
    <row r="126" spans="1:10">
      <c r="A126" s="6">
        <v>46278</v>
      </c>
      <c r="B126" s="7">
        <v>46272.416666666664</v>
      </c>
      <c r="C126">
        <v>168</v>
      </c>
      <c r="D126">
        <v>186</v>
      </c>
      <c r="E126">
        <f t="shared" si="3"/>
        <v>18</v>
      </c>
      <c r="F126">
        <f t="shared" si="4"/>
        <v>18</v>
      </c>
      <c r="G126" s="8">
        <f t="shared" si="5"/>
        <v>0.90322580645161288</v>
      </c>
      <c r="H126" s="9">
        <f>C126*Assumptions!$B$2/(Assumptions!$B$5*60*Assumptions!$B$3)</f>
        <v>39.529411764705884</v>
      </c>
      <c r="I126">
        <f>ROUNDUP(H126/(1-Assumptions!$B$4),0)</f>
        <v>57</v>
      </c>
      <c r="J126" s="9">
        <f>D126*Assumptions!$B$2/(Assumptions!$B$5*60*Assumptions!$B$3)</f>
        <v>43.764705882352942</v>
      </c>
    </row>
    <row r="127" spans="1:10">
      <c r="A127" s="6">
        <v>46278</v>
      </c>
      <c r="B127" s="7">
        <v>46272.4375</v>
      </c>
      <c r="C127">
        <v>192</v>
      </c>
      <c r="D127">
        <v>211</v>
      </c>
      <c r="E127">
        <f t="shared" si="3"/>
        <v>19</v>
      </c>
      <c r="F127">
        <f t="shared" si="4"/>
        <v>19</v>
      </c>
      <c r="G127" s="8">
        <f t="shared" si="5"/>
        <v>0.90995260663507105</v>
      </c>
      <c r="H127" s="9">
        <f>C127*Assumptions!$B$2/(Assumptions!$B$5*60*Assumptions!$B$3)</f>
        <v>45.176470588235297</v>
      </c>
      <c r="I127">
        <f>ROUNDUP(H127/(1-Assumptions!$B$4),0)</f>
        <v>65</v>
      </c>
      <c r="J127" s="9">
        <f>D127*Assumptions!$B$2/(Assumptions!$B$5*60*Assumptions!$B$3)</f>
        <v>49.647058823529413</v>
      </c>
    </row>
    <row r="128" spans="1:10">
      <c r="A128" s="6">
        <v>46278</v>
      </c>
      <c r="B128" s="7">
        <v>46272.458333333336</v>
      </c>
      <c r="C128">
        <v>204</v>
      </c>
      <c r="D128">
        <v>194</v>
      </c>
      <c r="E128">
        <f t="shared" si="3"/>
        <v>-10</v>
      </c>
      <c r="F128">
        <f t="shared" si="4"/>
        <v>10</v>
      </c>
      <c r="G128" s="8">
        <f t="shared" si="5"/>
        <v>0.94845360824742264</v>
      </c>
      <c r="H128" s="9">
        <f>C128*Assumptions!$B$2/(Assumptions!$B$5*60*Assumptions!$B$3)</f>
        <v>48</v>
      </c>
      <c r="I128">
        <f>ROUNDUP(H128/(1-Assumptions!$B$4),0)</f>
        <v>69</v>
      </c>
      <c r="J128" s="9">
        <f>D128*Assumptions!$B$2/(Assumptions!$B$5*60*Assumptions!$B$3)</f>
        <v>45.647058823529413</v>
      </c>
    </row>
    <row r="129" spans="1:10">
      <c r="A129" s="6">
        <v>46278</v>
      </c>
      <c r="B129" s="7">
        <v>46272.479166666664</v>
      </c>
      <c r="C129">
        <v>193</v>
      </c>
      <c r="D129">
        <v>173</v>
      </c>
      <c r="E129">
        <f t="shared" si="3"/>
        <v>-20</v>
      </c>
      <c r="F129">
        <f t="shared" si="4"/>
        <v>20</v>
      </c>
      <c r="G129" s="8">
        <f t="shared" si="5"/>
        <v>0.88439306358381509</v>
      </c>
      <c r="H129" s="9">
        <f>C129*Assumptions!$B$2/(Assumptions!$B$5*60*Assumptions!$B$3)</f>
        <v>45.411764705882355</v>
      </c>
      <c r="I129">
        <f>ROUNDUP(H129/(1-Assumptions!$B$4),0)</f>
        <v>65</v>
      </c>
      <c r="J129" s="9">
        <f>D129*Assumptions!$B$2/(Assumptions!$B$5*60*Assumptions!$B$3)</f>
        <v>40.705882352941174</v>
      </c>
    </row>
    <row r="130" spans="1:10">
      <c r="A130" s="6">
        <v>46278</v>
      </c>
      <c r="B130" s="7">
        <v>46272.5</v>
      </c>
      <c r="C130">
        <v>185</v>
      </c>
      <c r="D130">
        <v>185</v>
      </c>
      <c r="E130">
        <f t="shared" ref="E130:E193" si="6">D130-C130</f>
        <v>0</v>
      </c>
      <c r="F130">
        <f t="shared" ref="F130:F193" si="7">ABS(E130)</f>
        <v>0</v>
      </c>
      <c r="G130" s="8">
        <f t="shared" ref="G130:G193" si="8">IFERROR(1-F130/D130,0)</f>
        <v>1</v>
      </c>
      <c r="H130" s="9">
        <f>C130*Assumptions!$B$2/(Assumptions!$B$5*60*Assumptions!$B$3)</f>
        <v>43.529411764705884</v>
      </c>
      <c r="I130">
        <f>ROUNDUP(H130/(1-Assumptions!$B$4),0)</f>
        <v>63</v>
      </c>
      <c r="J130" s="9">
        <f>D130*Assumptions!$B$2/(Assumptions!$B$5*60*Assumptions!$B$3)</f>
        <v>43.529411764705884</v>
      </c>
    </row>
    <row r="131" spans="1:10">
      <c r="A131" s="6">
        <v>46278</v>
      </c>
      <c r="B131" s="7">
        <v>46272.520833333336</v>
      </c>
      <c r="C131">
        <v>146</v>
      </c>
      <c r="D131">
        <v>139</v>
      </c>
      <c r="E131">
        <f t="shared" si="6"/>
        <v>-7</v>
      </c>
      <c r="F131">
        <f t="shared" si="7"/>
        <v>7</v>
      </c>
      <c r="G131" s="8">
        <f t="shared" si="8"/>
        <v>0.94964028776978415</v>
      </c>
      <c r="H131" s="9">
        <f>C131*Assumptions!$B$2/(Assumptions!$B$5*60*Assumptions!$B$3)</f>
        <v>34.352941176470587</v>
      </c>
      <c r="I131">
        <f>ROUNDUP(H131/(1-Assumptions!$B$4),0)</f>
        <v>50</v>
      </c>
      <c r="J131" s="9">
        <f>D131*Assumptions!$B$2/(Assumptions!$B$5*60*Assumptions!$B$3)</f>
        <v>32.705882352941174</v>
      </c>
    </row>
    <row r="132" spans="1:10">
      <c r="A132" s="6">
        <v>46278</v>
      </c>
      <c r="B132" s="7">
        <v>46272.541666666664</v>
      </c>
      <c r="C132">
        <v>141</v>
      </c>
      <c r="D132">
        <v>153</v>
      </c>
      <c r="E132">
        <f t="shared" si="6"/>
        <v>12</v>
      </c>
      <c r="F132">
        <f t="shared" si="7"/>
        <v>12</v>
      </c>
      <c r="G132" s="8">
        <f t="shared" si="8"/>
        <v>0.92156862745098045</v>
      </c>
      <c r="H132" s="9">
        <f>C132*Assumptions!$B$2/(Assumptions!$B$5*60*Assumptions!$B$3)</f>
        <v>33.176470588235297</v>
      </c>
      <c r="I132">
        <f>ROUNDUP(H132/(1-Assumptions!$B$4),0)</f>
        <v>48</v>
      </c>
      <c r="J132" s="9">
        <f>D132*Assumptions!$B$2/(Assumptions!$B$5*60*Assumptions!$B$3)</f>
        <v>36</v>
      </c>
    </row>
    <row r="133" spans="1:10">
      <c r="A133" s="6">
        <v>46278</v>
      </c>
      <c r="B133" s="7">
        <v>46272.5625</v>
      </c>
      <c r="C133">
        <v>145</v>
      </c>
      <c r="D133">
        <v>140</v>
      </c>
      <c r="E133">
        <f t="shared" si="6"/>
        <v>-5</v>
      </c>
      <c r="F133">
        <f t="shared" si="7"/>
        <v>5</v>
      </c>
      <c r="G133" s="8">
        <f t="shared" si="8"/>
        <v>0.9642857142857143</v>
      </c>
      <c r="H133" s="9">
        <f>C133*Assumptions!$B$2/(Assumptions!$B$5*60*Assumptions!$B$3)</f>
        <v>34.117647058823529</v>
      </c>
      <c r="I133">
        <f>ROUNDUP(H133/(1-Assumptions!$B$4),0)</f>
        <v>49</v>
      </c>
      <c r="J133" s="9">
        <f>D133*Assumptions!$B$2/(Assumptions!$B$5*60*Assumptions!$B$3)</f>
        <v>32.941176470588232</v>
      </c>
    </row>
    <row r="134" spans="1:10">
      <c r="A134" s="6">
        <v>46278</v>
      </c>
      <c r="B134" s="7">
        <v>46272.583333333336</v>
      </c>
      <c r="C134">
        <v>158</v>
      </c>
      <c r="D134">
        <v>158</v>
      </c>
      <c r="E134">
        <f t="shared" si="6"/>
        <v>0</v>
      </c>
      <c r="F134">
        <f t="shared" si="7"/>
        <v>0</v>
      </c>
      <c r="G134" s="8">
        <f t="shared" si="8"/>
        <v>1</v>
      </c>
      <c r="H134" s="9">
        <f>C134*Assumptions!$B$2/(Assumptions!$B$5*60*Assumptions!$B$3)</f>
        <v>37.176470588235297</v>
      </c>
      <c r="I134">
        <f>ROUNDUP(H134/(1-Assumptions!$B$4),0)</f>
        <v>54</v>
      </c>
      <c r="J134" s="9">
        <f>D134*Assumptions!$B$2/(Assumptions!$B$5*60*Assumptions!$B$3)</f>
        <v>37.176470588235297</v>
      </c>
    </row>
    <row r="135" spans="1:10">
      <c r="A135" s="6">
        <v>46278</v>
      </c>
      <c r="B135" s="7">
        <v>46272.604166666664</v>
      </c>
      <c r="C135">
        <v>153</v>
      </c>
      <c r="D135">
        <v>167</v>
      </c>
      <c r="E135">
        <f t="shared" si="6"/>
        <v>14</v>
      </c>
      <c r="F135">
        <f t="shared" si="7"/>
        <v>14</v>
      </c>
      <c r="G135" s="8">
        <f t="shared" si="8"/>
        <v>0.91616766467065869</v>
      </c>
      <c r="H135" s="9">
        <f>C135*Assumptions!$B$2/(Assumptions!$B$5*60*Assumptions!$B$3)</f>
        <v>36</v>
      </c>
      <c r="I135">
        <f>ROUNDUP(H135/(1-Assumptions!$B$4),0)</f>
        <v>52</v>
      </c>
      <c r="J135" s="9">
        <f>D135*Assumptions!$B$2/(Assumptions!$B$5*60*Assumptions!$B$3)</f>
        <v>39.294117647058826</v>
      </c>
    </row>
    <row r="136" spans="1:10">
      <c r="A136" s="6">
        <v>46278</v>
      </c>
      <c r="B136" s="7">
        <v>46272.625</v>
      </c>
      <c r="C136">
        <v>142</v>
      </c>
      <c r="D136">
        <v>144</v>
      </c>
      <c r="E136">
        <f t="shared" si="6"/>
        <v>2</v>
      </c>
      <c r="F136">
        <f t="shared" si="7"/>
        <v>2</v>
      </c>
      <c r="G136" s="8">
        <f t="shared" si="8"/>
        <v>0.98611111111111116</v>
      </c>
      <c r="H136" s="9">
        <f>C136*Assumptions!$B$2/(Assumptions!$B$5*60*Assumptions!$B$3)</f>
        <v>33.411764705882355</v>
      </c>
      <c r="I136">
        <f>ROUNDUP(H136/(1-Assumptions!$B$4),0)</f>
        <v>48</v>
      </c>
      <c r="J136" s="9">
        <f>D136*Assumptions!$B$2/(Assumptions!$B$5*60*Assumptions!$B$3)</f>
        <v>33.882352941176471</v>
      </c>
    </row>
    <row r="137" spans="1:10">
      <c r="A137" s="6">
        <v>46278</v>
      </c>
      <c r="B137" s="7">
        <v>46272.645833333336</v>
      </c>
      <c r="C137">
        <v>121</v>
      </c>
      <c r="D137">
        <v>116</v>
      </c>
      <c r="E137">
        <f t="shared" si="6"/>
        <v>-5</v>
      </c>
      <c r="F137">
        <f t="shared" si="7"/>
        <v>5</v>
      </c>
      <c r="G137" s="8">
        <f t="shared" si="8"/>
        <v>0.9568965517241379</v>
      </c>
      <c r="H137" s="9">
        <f>C137*Assumptions!$B$2/(Assumptions!$B$5*60*Assumptions!$B$3)</f>
        <v>28.470588235294116</v>
      </c>
      <c r="I137">
        <f>ROUNDUP(H137/(1-Assumptions!$B$4),0)</f>
        <v>41</v>
      </c>
      <c r="J137" s="9">
        <f>D137*Assumptions!$B$2/(Assumptions!$B$5*60*Assumptions!$B$3)</f>
        <v>27.294117647058822</v>
      </c>
    </row>
    <row r="138" spans="1:10">
      <c r="A138" s="6">
        <v>46278</v>
      </c>
      <c r="B138" s="7">
        <v>46272.666666666664</v>
      </c>
      <c r="C138">
        <v>117</v>
      </c>
      <c r="D138">
        <v>115</v>
      </c>
      <c r="E138">
        <f t="shared" si="6"/>
        <v>-2</v>
      </c>
      <c r="F138">
        <f t="shared" si="7"/>
        <v>2</v>
      </c>
      <c r="G138" s="8">
        <f t="shared" si="8"/>
        <v>0.9826086956521739</v>
      </c>
      <c r="H138" s="9">
        <f>C138*Assumptions!$B$2/(Assumptions!$B$5*60*Assumptions!$B$3)</f>
        <v>27.529411764705884</v>
      </c>
      <c r="I138">
        <f>ROUNDUP(H138/(1-Assumptions!$B$4),0)</f>
        <v>40</v>
      </c>
      <c r="J138" s="9">
        <f>D138*Assumptions!$B$2/(Assumptions!$B$5*60*Assumptions!$B$3)</f>
        <v>27.058823529411764</v>
      </c>
    </row>
    <row r="139" spans="1:10">
      <c r="A139" s="6">
        <v>46278</v>
      </c>
      <c r="B139" s="7">
        <v>46272.6875</v>
      </c>
      <c r="C139">
        <v>97</v>
      </c>
      <c r="D139">
        <v>105</v>
      </c>
      <c r="E139">
        <f t="shared" si="6"/>
        <v>8</v>
      </c>
      <c r="F139">
        <f t="shared" si="7"/>
        <v>8</v>
      </c>
      <c r="G139" s="8">
        <f t="shared" si="8"/>
        <v>0.92380952380952386</v>
      </c>
      <c r="H139" s="9">
        <f>C139*Assumptions!$B$2/(Assumptions!$B$5*60*Assumptions!$B$3)</f>
        <v>22.823529411764707</v>
      </c>
      <c r="I139">
        <f>ROUNDUP(H139/(1-Assumptions!$B$4),0)</f>
        <v>33</v>
      </c>
      <c r="J139" s="9">
        <f>D139*Assumptions!$B$2/(Assumptions!$B$5*60*Assumptions!$B$3)</f>
        <v>24.705882352941178</v>
      </c>
    </row>
    <row r="140" spans="1:10">
      <c r="A140" s="6">
        <v>46278</v>
      </c>
      <c r="B140" s="7">
        <v>46272.708333333336</v>
      </c>
      <c r="C140">
        <v>100</v>
      </c>
      <c r="D140">
        <v>106</v>
      </c>
      <c r="E140">
        <f t="shared" si="6"/>
        <v>6</v>
      </c>
      <c r="F140">
        <f t="shared" si="7"/>
        <v>6</v>
      </c>
      <c r="G140" s="8">
        <f t="shared" si="8"/>
        <v>0.94339622641509435</v>
      </c>
      <c r="H140" s="9">
        <f>C140*Assumptions!$B$2/(Assumptions!$B$5*60*Assumptions!$B$3)</f>
        <v>23.529411764705884</v>
      </c>
      <c r="I140">
        <f>ROUNDUP(H140/(1-Assumptions!$B$4),0)</f>
        <v>34</v>
      </c>
      <c r="J140" s="9">
        <f>D140*Assumptions!$B$2/(Assumptions!$B$5*60*Assumptions!$B$3)</f>
        <v>24.941176470588236</v>
      </c>
    </row>
    <row r="141" spans="1:10">
      <c r="A141" s="6">
        <v>46278</v>
      </c>
      <c r="B141" s="7">
        <v>46272.729166666664</v>
      </c>
      <c r="C141">
        <v>88</v>
      </c>
      <c r="D141">
        <v>85</v>
      </c>
      <c r="E141">
        <f t="shared" si="6"/>
        <v>-3</v>
      </c>
      <c r="F141">
        <f t="shared" si="7"/>
        <v>3</v>
      </c>
      <c r="G141" s="8">
        <f t="shared" si="8"/>
        <v>0.96470588235294119</v>
      </c>
      <c r="H141" s="9">
        <f>C141*Assumptions!$B$2/(Assumptions!$B$5*60*Assumptions!$B$3)</f>
        <v>20.705882352941178</v>
      </c>
      <c r="I141">
        <f>ROUNDUP(H141/(1-Assumptions!$B$4),0)</f>
        <v>30</v>
      </c>
      <c r="J141" s="9">
        <f>D141*Assumptions!$B$2/(Assumptions!$B$5*60*Assumptions!$B$3)</f>
        <v>20</v>
      </c>
    </row>
    <row r="142" spans="1:10">
      <c r="A142" s="6">
        <v>46279</v>
      </c>
      <c r="B142" s="7">
        <v>46272.333333333336</v>
      </c>
      <c r="C142">
        <v>79</v>
      </c>
      <c r="D142">
        <v>79</v>
      </c>
      <c r="E142">
        <f t="shared" si="6"/>
        <v>0</v>
      </c>
      <c r="F142">
        <f t="shared" si="7"/>
        <v>0</v>
      </c>
      <c r="G142" s="8">
        <f t="shared" si="8"/>
        <v>1</v>
      </c>
      <c r="H142" s="9">
        <f>C142*Assumptions!$B$2/(Assumptions!$B$5*60*Assumptions!$B$3)</f>
        <v>18.588235294117649</v>
      </c>
      <c r="I142">
        <f>ROUNDUP(H142/(1-Assumptions!$B$4),0)</f>
        <v>27</v>
      </c>
      <c r="J142" s="9">
        <f>D142*Assumptions!$B$2/(Assumptions!$B$5*60*Assumptions!$B$3)</f>
        <v>18.588235294117649</v>
      </c>
    </row>
    <row r="143" spans="1:10">
      <c r="A143" s="6">
        <v>46279</v>
      </c>
      <c r="B143" s="7">
        <v>46272.354166666664</v>
      </c>
      <c r="C143">
        <v>114</v>
      </c>
      <c r="D143">
        <v>116</v>
      </c>
      <c r="E143">
        <f t="shared" si="6"/>
        <v>2</v>
      </c>
      <c r="F143">
        <f t="shared" si="7"/>
        <v>2</v>
      </c>
      <c r="G143" s="8">
        <f t="shared" si="8"/>
        <v>0.98275862068965514</v>
      </c>
      <c r="H143" s="9">
        <f>C143*Assumptions!$B$2/(Assumptions!$B$5*60*Assumptions!$B$3)</f>
        <v>26.823529411764707</v>
      </c>
      <c r="I143">
        <f>ROUNDUP(H143/(1-Assumptions!$B$4),0)</f>
        <v>39</v>
      </c>
      <c r="J143" s="9">
        <f>D143*Assumptions!$B$2/(Assumptions!$B$5*60*Assumptions!$B$3)</f>
        <v>27.294117647058822</v>
      </c>
    </row>
    <row r="144" spans="1:10">
      <c r="A144" s="6">
        <v>46279</v>
      </c>
      <c r="B144" s="7">
        <v>46272.375</v>
      </c>
      <c r="C144">
        <v>140</v>
      </c>
      <c r="D144">
        <v>142</v>
      </c>
      <c r="E144">
        <f t="shared" si="6"/>
        <v>2</v>
      </c>
      <c r="F144">
        <f t="shared" si="7"/>
        <v>2</v>
      </c>
      <c r="G144" s="8">
        <f t="shared" si="8"/>
        <v>0.9859154929577465</v>
      </c>
      <c r="H144" s="9">
        <f>C144*Assumptions!$B$2/(Assumptions!$B$5*60*Assumptions!$B$3)</f>
        <v>32.941176470588232</v>
      </c>
      <c r="I144">
        <f>ROUNDUP(H144/(1-Assumptions!$B$4),0)</f>
        <v>48</v>
      </c>
      <c r="J144" s="9">
        <f>D144*Assumptions!$B$2/(Assumptions!$B$5*60*Assumptions!$B$3)</f>
        <v>33.411764705882355</v>
      </c>
    </row>
    <row r="145" spans="1:10">
      <c r="A145" s="6">
        <v>46279</v>
      </c>
      <c r="B145" s="7">
        <v>46272.395833333336</v>
      </c>
      <c r="C145">
        <v>177</v>
      </c>
      <c r="D145">
        <v>187</v>
      </c>
      <c r="E145">
        <f t="shared" si="6"/>
        <v>10</v>
      </c>
      <c r="F145">
        <f t="shared" si="7"/>
        <v>10</v>
      </c>
      <c r="G145" s="8">
        <f t="shared" si="8"/>
        <v>0.946524064171123</v>
      </c>
      <c r="H145" s="9">
        <f>C145*Assumptions!$B$2/(Assumptions!$B$5*60*Assumptions!$B$3)</f>
        <v>41.647058823529413</v>
      </c>
      <c r="I145">
        <f>ROUNDUP(H145/(1-Assumptions!$B$4),0)</f>
        <v>60</v>
      </c>
      <c r="J145" s="9">
        <f>D145*Assumptions!$B$2/(Assumptions!$B$5*60*Assumptions!$B$3)</f>
        <v>44</v>
      </c>
    </row>
    <row r="146" spans="1:10">
      <c r="A146" s="6">
        <v>46279</v>
      </c>
      <c r="B146" s="7">
        <v>46272.416666666664</v>
      </c>
      <c r="C146">
        <v>195</v>
      </c>
      <c r="D146">
        <v>196</v>
      </c>
      <c r="E146">
        <f t="shared" si="6"/>
        <v>1</v>
      </c>
      <c r="F146">
        <f t="shared" si="7"/>
        <v>1</v>
      </c>
      <c r="G146" s="8">
        <f t="shared" si="8"/>
        <v>0.99489795918367352</v>
      </c>
      <c r="H146" s="9">
        <f>C146*Assumptions!$B$2/(Assumptions!$B$5*60*Assumptions!$B$3)</f>
        <v>45.882352941176471</v>
      </c>
      <c r="I146">
        <f>ROUNDUP(H146/(1-Assumptions!$B$4),0)</f>
        <v>66</v>
      </c>
      <c r="J146" s="9">
        <f>D146*Assumptions!$B$2/(Assumptions!$B$5*60*Assumptions!$B$3)</f>
        <v>46.117647058823529</v>
      </c>
    </row>
    <row r="147" spans="1:10">
      <c r="A147" s="6">
        <v>46279</v>
      </c>
      <c r="B147" s="7">
        <v>46272.4375</v>
      </c>
      <c r="C147">
        <v>244</v>
      </c>
      <c r="D147">
        <v>242</v>
      </c>
      <c r="E147">
        <f t="shared" si="6"/>
        <v>-2</v>
      </c>
      <c r="F147">
        <f t="shared" si="7"/>
        <v>2</v>
      </c>
      <c r="G147" s="8">
        <f t="shared" si="8"/>
        <v>0.99173553719008267</v>
      </c>
      <c r="H147" s="9">
        <f>C147*Assumptions!$B$2/(Assumptions!$B$5*60*Assumptions!$B$3)</f>
        <v>57.411764705882355</v>
      </c>
      <c r="I147">
        <f>ROUNDUP(H147/(1-Assumptions!$B$4),0)</f>
        <v>83</v>
      </c>
      <c r="J147" s="9">
        <f>D147*Assumptions!$B$2/(Assumptions!$B$5*60*Assumptions!$B$3)</f>
        <v>56.941176470588232</v>
      </c>
    </row>
    <row r="148" spans="1:10">
      <c r="A148" s="6">
        <v>46279</v>
      </c>
      <c r="B148" s="7">
        <v>46272.458333333336</v>
      </c>
      <c r="C148">
        <v>244</v>
      </c>
      <c r="D148">
        <v>223</v>
      </c>
      <c r="E148">
        <f t="shared" si="6"/>
        <v>-21</v>
      </c>
      <c r="F148">
        <f t="shared" si="7"/>
        <v>21</v>
      </c>
      <c r="G148" s="8">
        <f t="shared" si="8"/>
        <v>0.905829596412556</v>
      </c>
      <c r="H148" s="9">
        <f>C148*Assumptions!$B$2/(Assumptions!$B$5*60*Assumptions!$B$3)</f>
        <v>57.411764705882355</v>
      </c>
      <c r="I148">
        <f>ROUNDUP(H148/(1-Assumptions!$B$4),0)</f>
        <v>83</v>
      </c>
      <c r="J148" s="9">
        <f>D148*Assumptions!$B$2/(Assumptions!$B$5*60*Assumptions!$B$3)</f>
        <v>52.470588235294116</v>
      </c>
    </row>
    <row r="149" spans="1:10">
      <c r="A149" s="6">
        <v>46279</v>
      </c>
      <c r="B149" s="7">
        <v>46272.479166666664</v>
      </c>
      <c r="C149">
        <v>237</v>
      </c>
      <c r="D149">
        <v>255</v>
      </c>
      <c r="E149">
        <f t="shared" si="6"/>
        <v>18</v>
      </c>
      <c r="F149">
        <f t="shared" si="7"/>
        <v>18</v>
      </c>
      <c r="G149" s="8">
        <f t="shared" si="8"/>
        <v>0.92941176470588238</v>
      </c>
      <c r="H149" s="9">
        <f>C149*Assumptions!$B$2/(Assumptions!$B$5*60*Assumptions!$B$3)</f>
        <v>55.764705882352942</v>
      </c>
      <c r="I149">
        <f>ROUNDUP(H149/(1-Assumptions!$B$4),0)</f>
        <v>80</v>
      </c>
      <c r="J149" s="9">
        <f>D149*Assumptions!$B$2/(Assumptions!$B$5*60*Assumptions!$B$3)</f>
        <v>60</v>
      </c>
    </row>
    <row r="150" spans="1:10">
      <c r="A150" s="6">
        <v>46279</v>
      </c>
      <c r="B150" s="7">
        <v>46272.5</v>
      </c>
      <c r="C150">
        <v>225</v>
      </c>
      <c r="D150">
        <v>219</v>
      </c>
      <c r="E150">
        <f t="shared" si="6"/>
        <v>-6</v>
      </c>
      <c r="F150">
        <f t="shared" si="7"/>
        <v>6</v>
      </c>
      <c r="G150" s="8">
        <f t="shared" si="8"/>
        <v>0.9726027397260274</v>
      </c>
      <c r="H150" s="9">
        <f>C150*Assumptions!$B$2/(Assumptions!$B$5*60*Assumptions!$B$3)</f>
        <v>52.941176470588232</v>
      </c>
      <c r="I150">
        <f>ROUNDUP(H150/(1-Assumptions!$B$4),0)</f>
        <v>76</v>
      </c>
      <c r="J150" s="9">
        <f>D150*Assumptions!$B$2/(Assumptions!$B$5*60*Assumptions!$B$3)</f>
        <v>51.529411764705884</v>
      </c>
    </row>
    <row r="151" spans="1:10">
      <c r="A151" s="6">
        <v>46279</v>
      </c>
      <c r="B151" s="7">
        <v>46272.520833333336</v>
      </c>
      <c r="C151">
        <v>181</v>
      </c>
      <c r="D151">
        <v>173</v>
      </c>
      <c r="E151">
        <f t="shared" si="6"/>
        <v>-8</v>
      </c>
      <c r="F151">
        <f t="shared" si="7"/>
        <v>8</v>
      </c>
      <c r="G151" s="8">
        <f t="shared" si="8"/>
        <v>0.95375722543352603</v>
      </c>
      <c r="H151" s="9">
        <f>C151*Assumptions!$B$2/(Assumptions!$B$5*60*Assumptions!$B$3)</f>
        <v>42.588235294117645</v>
      </c>
      <c r="I151">
        <f>ROUNDUP(H151/(1-Assumptions!$B$4),0)</f>
        <v>61</v>
      </c>
      <c r="J151" s="9">
        <f>D151*Assumptions!$B$2/(Assumptions!$B$5*60*Assumptions!$B$3)</f>
        <v>40.705882352941174</v>
      </c>
    </row>
    <row r="152" spans="1:10">
      <c r="A152" s="6">
        <v>46279</v>
      </c>
      <c r="B152" s="7">
        <v>46272.541666666664</v>
      </c>
      <c r="C152">
        <v>174</v>
      </c>
      <c r="D152">
        <v>174</v>
      </c>
      <c r="E152">
        <f t="shared" si="6"/>
        <v>0</v>
      </c>
      <c r="F152">
        <f t="shared" si="7"/>
        <v>0</v>
      </c>
      <c r="G152" s="8">
        <f t="shared" si="8"/>
        <v>1</v>
      </c>
      <c r="H152" s="9">
        <f>C152*Assumptions!$B$2/(Assumptions!$B$5*60*Assumptions!$B$3)</f>
        <v>40.941176470588232</v>
      </c>
      <c r="I152">
        <f>ROUNDUP(H152/(1-Assumptions!$B$4),0)</f>
        <v>59</v>
      </c>
      <c r="J152" s="9">
        <f>D152*Assumptions!$B$2/(Assumptions!$B$5*60*Assumptions!$B$3)</f>
        <v>40.941176470588232</v>
      </c>
    </row>
    <row r="153" spans="1:10">
      <c r="A153" s="6">
        <v>46279</v>
      </c>
      <c r="B153" s="7">
        <v>46272.5625</v>
      </c>
      <c r="C153">
        <v>171</v>
      </c>
      <c r="D153">
        <v>159</v>
      </c>
      <c r="E153">
        <f t="shared" si="6"/>
        <v>-12</v>
      </c>
      <c r="F153">
        <f t="shared" si="7"/>
        <v>12</v>
      </c>
      <c r="G153" s="8">
        <f t="shared" si="8"/>
        <v>0.92452830188679247</v>
      </c>
      <c r="H153" s="9">
        <f>C153*Assumptions!$B$2/(Assumptions!$B$5*60*Assumptions!$B$3)</f>
        <v>40.235294117647058</v>
      </c>
      <c r="I153">
        <f>ROUNDUP(H153/(1-Assumptions!$B$4),0)</f>
        <v>58</v>
      </c>
      <c r="J153" s="9">
        <f>D153*Assumptions!$B$2/(Assumptions!$B$5*60*Assumptions!$B$3)</f>
        <v>37.411764705882355</v>
      </c>
    </row>
    <row r="154" spans="1:10">
      <c r="A154" s="6">
        <v>46279</v>
      </c>
      <c r="B154" s="7">
        <v>46272.583333333336</v>
      </c>
      <c r="C154">
        <v>188</v>
      </c>
      <c r="D154">
        <v>173</v>
      </c>
      <c r="E154">
        <f t="shared" si="6"/>
        <v>-15</v>
      </c>
      <c r="F154">
        <f t="shared" si="7"/>
        <v>15</v>
      </c>
      <c r="G154" s="8">
        <f t="shared" si="8"/>
        <v>0.91329479768786126</v>
      </c>
      <c r="H154" s="9">
        <f>C154*Assumptions!$B$2/(Assumptions!$B$5*60*Assumptions!$B$3)</f>
        <v>44.235294117647058</v>
      </c>
      <c r="I154">
        <f>ROUNDUP(H154/(1-Assumptions!$B$4),0)</f>
        <v>64</v>
      </c>
      <c r="J154" s="9">
        <f>D154*Assumptions!$B$2/(Assumptions!$B$5*60*Assumptions!$B$3)</f>
        <v>40.705882352941174</v>
      </c>
    </row>
    <row r="155" spans="1:10">
      <c r="A155" s="6">
        <v>46279</v>
      </c>
      <c r="B155" s="7">
        <v>46272.604166666664</v>
      </c>
      <c r="C155">
        <v>191</v>
      </c>
      <c r="D155">
        <v>175</v>
      </c>
      <c r="E155">
        <f t="shared" si="6"/>
        <v>-16</v>
      </c>
      <c r="F155">
        <f t="shared" si="7"/>
        <v>16</v>
      </c>
      <c r="G155" s="8">
        <f t="shared" si="8"/>
        <v>0.90857142857142859</v>
      </c>
      <c r="H155" s="9">
        <f>C155*Assumptions!$B$2/(Assumptions!$B$5*60*Assumptions!$B$3)</f>
        <v>44.941176470588232</v>
      </c>
      <c r="I155">
        <f>ROUNDUP(H155/(1-Assumptions!$B$4),0)</f>
        <v>65</v>
      </c>
      <c r="J155" s="9">
        <f>D155*Assumptions!$B$2/(Assumptions!$B$5*60*Assumptions!$B$3)</f>
        <v>41.176470588235297</v>
      </c>
    </row>
    <row r="156" spans="1:10">
      <c r="A156" s="6">
        <v>46279</v>
      </c>
      <c r="B156" s="7">
        <v>46272.625</v>
      </c>
      <c r="C156">
        <v>167</v>
      </c>
      <c r="D156">
        <v>184</v>
      </c>
      <c r="E156">
        <f t="shared" si="6"/>
        <v>17</v>
      </c>
      <c r="F156">
        <f t="shared" si="7"/>
        <v>17</v>
      </c>
      <c r="G156" s="8">
        <f t="shared" si="8"/>
        <v>0.90760869565217395</v>
      </c>
      <c r="H156" s="9">
        <f>C156*Assumptions!$B$2/(Assumptions!$B$5*60*Assumptions!$B$3)</f>
        <v>39.294117647058826</v>
      </c>
      <c r="I156">
        <f>ROUNDUP(H156/(1-Assumptions!$B$4),0)</f>
        <v>57</v>
      </c>
      <c r="J156" s="9">
        <f>D156*Assumptions!$B$2/(Assumptions!$B$5*60*Assumptions!$B$3)</f>
        <v>43.294117647058826</v>
      </c>
    </row>
    <row r="157" spans="1:10">
      <c r="A157" s="6">
        <v>46279</v>
      </c>
      <c r="B157" s="7">
        <v>46272.645833333336</v>
      </c>
      <c r="C157">
        <v>150</v>
      </c>
      <c r="D157">
        <v>145</v>
      </c>
      <c r="E157">
        <f t="shared" si="6"/>
        <v>-5</v>
      </c>
      <c r="F157">
        <f t="shared" si="7"/>
        <v>5</v>
      </c>
      <c r="G157" s="8">
        <f t="shared" si="8"/>
        <v>0.96551724137931039</v>
      </c>
      <c r="H157" s="9">
        <f>C157*Assumptions!$B$2/(Assumptions!$B$5*60*Assumptions!$B$3)</f>
        <v>35.294117647058826</v>
      </c>
      <c r="I157">
        <f>ROUNDUP(H157/(1-Assumptions!$B$4),0)</f>
        <v>51</v>
      </c>
      <c r="J157" s="9">
        <f>D157*Assumptions!$B$2/(Assumptions!$B$5*60*Assumptions!$B$3)</f>
        <v>34.117647058823529</v>
      </c>
    </row>
    <row r="158" spans="1:10">
      <c r="A158" s="6">
        <v>46279</v>
      </c>
      <c r="B158" s="7">
        <v>46272.666666666664</v>
      </c>
      <c r="C158">
        <v>141</v>
      </c>
      <c r="D158">
        <v>128</v>
      </c>
      <c r="E158">
        <f t="shared" si="6"/>
        <v>-13</v>
      </c>
      <c r="F158">
        <f t="shared" si="7"/>
        <v>13</v>
      </c>
      <c r="G158" s="8">
        <f t="shared" si="8"/>
        <v>0.8984375</v>
      </c>
      <c r="H158" s="9">
        <f>C158*Assumptions!$B$2/(Assumptions!$B$5*60*Assumptions!$B$3)</f>
        <v>33.176470588235297</v>
      </c>
      <c r="I158">
        <f>ROUNDUP(H158/(1-Assumptions!$B$4),0)</f>
        <v>48</v>
      </c>
      <c r="J158" s="9">
        <f>D158*Assumptions!$B$2/(Assumptions!$B$5*60*Assumptions!$B$3)</f>
        <v>30.117647058823529</v>
      </c>
    </row>
    <row r="159" spans="1:10">
      <c r="A159" s="6">
        <v>46279</v>
      </c>
      <c r="B159" s="7">
        <v>46272.6875</v>
      </c>
      <c r="C159">
        <v>124</v>
      </c>
      <c r="D159">
        <v>135</v>
      </c>
      <c r="E159">
        <f t="shared" si="6"/>
        <v>11</v>
      </c>
      <c r="F159">
        <f t="shared" si="7"/>
        <v>11</v>
      </c>
      <c r="G159" s="8">
        <f t="shared" si="8"/>
        <v>0.91851851851851851</v>
      </c>
      <c r="H159" s="9">
        <f>C159*Assumptions!$B$2/(Assumptions!$B$5*60*Assumptions!$B$3)</f>
        <v>29.176470588235293</v>
      </c>
      <c r="I159">
        <f>ROUNDUP(H159/(1-Assumptions!$B$4),0)</f>
        <v>42</v>
      </c>
      <c r="J159" s="9">
        <f>D159*Assumptions!$B$2/(Assumptions!$B$5*60*Assumptions!$B$3)</f>
        <v>31.764705882352942</v>
      </c>
    </row>
    <row r="160" spans="1:10">
      <c r="A160" s="6">
        <v>46279</v>
      </c>
      <c r="B160" s="7">
        <v>46272.708333333336</v>
      </c>
      <c r="C160">
        <v>129</v>
      </c>
      <c r="D160">
        <v>124</v>
      </c>
      <c r="E160">
        <f t="shared" si="6"/>
        <v>-5</v>
      </c>
      <c r="F160">
        <f t="shared" si="7"/>
        <v>5</v>
      </c>
      <c r="G160" s="8">
        <f t="shared" si="8"/>
        <v>0.95967741935483875</v>
      </c>
      <c r="H160" s="9">
        <f>C160*Assumptions!$B$2/(Assumptions!$B$5*60*Assumptions!$B$3)</f>
        <v>30.352941176470587</v>
      </c>
      <c r="I160">
        <f>ROUNDUP(H160/(1-Assumptions!$B$4),0)</f>
        <v>44</v>
      </c>
      <c r="J160" s="9">
        <f>D160*Assumptions!$B$2/(Assumptions!$B$5*60*Assumptions!$B$3)</f>
        <v>29.176470588235293</v>
      </c>
    </row>
    <row r="161" spans="1:10">
      <c r="A161" s="6">
        <v>46279</v>
      </c>
      <c r="B161" s="7">
        <v>46272.729166666664</v>
      </c>
      <c r="C161">
        <v>109</v>
      </c>
      <c r="D161">
        <v>103</v>
      </c>
      <c r="E161">
        <f t="shared" si="6"/>
        <v>-6</v>
      </c>
      <c r="F161">
        <f t="shared" si="7"/>
        <v>6</v>
      </c>
      <c r="G161" s="8">
        <f t="shared" si="8"/>
        <v>0.94174757281553401</v>
      </c>
      <c r="H161" s="9">
        <f>C161*Assumptions!$B$2/(Assumptions!$B$5*60*Assumptions!$B$3)</f>
        <v>25.647058823529413</v>
      </c>
      <c r="I161">
        <f>ROUNDUP(H161/(1-Assumptions!$B$4),0)</f>
        <v>37</v>
      </c>
      <c r="J161" s="9">
        <f>D161*Assumptions!$B$2/(Assumptions!$B$5*60*Assumptions!$B$3)</f>
        <v>24.235294117647058</v>
      </c>
    </row>
    <row r="162" spans="1:10">
      <c r="A162" s="6">
        <v>46280</v>
      </c>
      <c r="B162" s="7">
        <v>46272.333333333336</v>
      </c>
      <c r="C162">
        <v>87</v>
      </c>
      <c r="D162">
        <v>83</v>
      </c>
      <c r="E162">
        <f t="shared" si="6"/>
        <v>-4</v>
      </c>
      <c r="F162">
        <f t="shared" si="7"/>
        <v>4</v>
      </c>
      <c r="G162" s="8">
        <f t="shared" si="8"/>
        <v>0.95180722891566261</v>
      </c>
      <c r="H162" s="9">
        <f>C162*Assumptions!$B$2/(Assumptions!$B$5*60*Assumptions!$B$3)</f>
        <v>20.470588235294116</v>
      </c>
      <c r="I162">
        <f>ROUNDUP(H162/(1-Assumptions!$B$4),0)</f>
        <v>30</v>
      </c>
      <c r="J162" s="9">
        <f>D162*Assumptions!$B$2/(Assumptions!$B$5*60*Assumptions!$B$3)</f>
        <v>19.529411764705884</v>
      </c>
    </row>
    <row r="163" spans="1:10">
      <c r="A163" s="6">
        <v>46280</v>
      </c>
      <c r="B163" s="7">
        <v>46272.354166666664</v>
      </c>
      <c r="C163">
        <v>121</v>
      </c>
      <c r="D163">
        <v>134</v>
      </c>
      <c r="E163">
        <f t="shared" si="6"/>
        <v>13</v>
      </c>
      <c r="F163">
        <f t="shared" si="7"/>
        <v>13</v>
      </c>
      <c r="G163" s="8">
        <f t="shared" si="8"/>
        <v>0.90298507462686572</v>
      </c>
      <c r="H163" s="9">
        <f>C163*Assumptions!$B$2/(Assumptions!$B$5*60*Assumptions!$B$3)</f>
        <v>28.470588235294116</v>
      </c>
      <c r="I163">
        <f>ROUNDUP(H163/(1-Assumptions!$B$4),0)</f>
        <v>41</v>
      </c>
      <c r="J163" s="9">
        <f>D163*Assumptions!$B$2/(Assumptions!$B$5*60*Assumptions!$B$3)</f>
        <v>31.529411764705884</v>
      </c>
    </row>
    <row r="164" spans="1:10">
      <c r="A164" s="6">
        <v>46280</v>
      </c>
      <c r="B164" s="7">
        <v>46272.375</v>
      </c>
      <c r="C164">
        <v>149</v>
      </c>
      <c r="D164">
        <v>154</v>
      </c>
      <c r="E164">
        <f t="shared" si="6"/>
        <v>5</v>
      </c>
      <c r="F164">
        <f t="shared" si="7"/>
        <v>5</v>
      </c>
      <c r="G164" s="8">
        <f t="shared" si="8"/>
        <v>0.96753246753246758</v>
      </c>
      <c r="H164" s="9">
        <f>C164*Assumptions!$B$2/(Assumptions!$B$5*60*Assumptions!$B$3)</f>
        <v>35.058823529411768</v>
      </c>
      <c r="I164">
        <f>ROUNDUP(H164/(1-Assumptions!$B$4),0)</f>
        <v>51</v>
      </c>
      <c r="J164" s="9">
        <f>D164*Assumptions!$B$2/(Assumptions!$B$5*60*Assumptions!$B$3)</f>
        <v>36.235294117647058</v>
      </c>
    </row>
    <row r="165" spans="1:10">
      <c r="A165" s="6">
        <v>46280</v>
      </c>
      <c r="B165" s="7">
        <v>46272.395833333336</v>
      </c>
      <c r="C165">
        <v>190</v>
      </c>
      <c r="D165">
        <v>192</v>
      </c>
      <c r="E165">
        <f t="shared" si="6"/>
        <v>2</v>
      </c>
      <c r="F165">
        <f t="shared" si="7"/>
        <v>2</v>
      </c>
      <c r="G165" s="8">
        <f t="shared" si="8"/>
        <v>0.98958333333333337</v>
      </c>
      <c r="H165" s="9">
        <f>C165*Assumptions!$B$2/(Assumptions!$B$5*60*Assumptions!$B$3)</f>
        <v>44.705882352941174</v>
      </c>
      <c r="I165">
        <f>ROUNDUP(H165/(1-Assumptions!$B$4),0)</f>
        <v>64</v>
      </c>
      <c r="J165" s="9">
        <f>D165*Assumptions!$B$2/(Assumptions!$B$5*60*Assumptions!$B$3)</f>
        <v>45.176470588235297</v>
      </c>
    </row>
    <row r="166" spans="1:10">
      <c r="A166" s="6">
        <v>46280</v>
      </c>
      <c r="B166" s="7">
        <v>46272.416666666664</v>
      </c>
      <c r="C166">
        <v>227</v>
      </c>
      <c r="D166">
        <v>215</v>
      </c>
      <c r="E166">
        <f t="shared" si="6"/>
        <v>-12</v>
      </c>
      <c r="F166">
        <f t="shared" si="7"/>
        <v>12</v>
      </c>
      <c r="G166" s="8">
        <f t="shared" si="8"/>
        <v>0.94418604651162785</v>
      </c>
      <c r="H166" s="9">
        <f>C166*Assumptions!$B$2/(Assumptions!$B$5*60*Assumptions!$B$3)</f>
        <v>53.411764705882355</v>
      </c>
      <c r="I166">
        <f>ROUNDUP(H166/(1-Assumptions!$B$4),0)</f>
        <v>77</v>
      </c>
      <c r="J166" s="9">
        <f>D166*Assumptions!$B$2/(Assumptions!$B$5*60*Assumptions!$B$3)</f>
        <v>50.588235294117645</v>
      </c>
    </row>
    <row r="167" spans="1:10">
      <c r="A167" s="6">
        <v>46280</v>
      </c>
      <c r="B167" s="7">
        <v>46272.4375</v>
      </c>
      <c r="C167">
        <v>252</v>
      </c>
      <c r="D167">
        <v>243</v>
      </c>
      <c r="E167">
        <f t="shared" si="6"/>
        <v>-9</v>
      </c>
      <c r="F167">
        <f t="shared" si="7"/>
        <v>9</v>
      </c>
      <c r="G167" s="8">
        <f t="shared" si="8"/>
        <v>0.96296296296296302</v>
      </c>
      <c r="H167" s="9">
        <f>C167*Assumptions!$B$2/(Assumptions!$B$5*60*Assumptions!$B$3)</f>
        <v>59.294117647058826</v>
      </c>
      <c r="I167">
        <f>ROUNDUP(H167/(1-Assumptions!$B$4),0)</f>
        <v>85</v>
      </c>
      <c r="J167" s="9">
        <f>D167*Assumptions!$B$2/(Assumptions!$B$5*60*Assumptions!$B$3)</f>
        <v>57.176470588235297</v>
      </c>
    </row>
    <row r="168" spans="1:10">
      <c r="A168" s="6">
        <v>46280</v>
      </c>
      <c r="B168" s="7">
        <v>46272.458333333336</v>
      </c>
      <c r="C168">
        <v>264</v>
      </c>
      <c r="D168">
        <v>293</v>
      </c>
      <c r="E168">
        <f t="shared" si="6"/>
        <v>29</v>
      </c>
      <c r="F168">
        <f t="shared" si="7"/>
        <v>29</v>
      </c>
      <c r="G168" s="8">
        <f t="shared" si="8"/>
        <v>0.90102389078498291</v>
      </c>
      <c r="H168" s="9">
        <f>C168*Assumptions!$B$2/(Assumptions!$B$5*60*Assumptions!$B$3)</f>
        <v>62.117647058823529</v>
      </c>
      <c r="I168">
        <f>ROUNDUP(H168/(1-Assumptions!$B$4),0)</f>
        <v>89</v>
      </c>
      <c r="J168" s="9">
        <f>D168*Assumptions!$B$2/(Assumptions!$B$5*60*Assumptions!$B$3)</f>
        <v>68.941176470588232</v>
      </c>
    </row>
    <row r="169" spans="1:10">
      <c r="A169" s="6">
        <v>46280</v>
      </c>
      <c r="B169" s="7">
        <v>46272.479166666664</v>
      </c>
      <c r="C169">
        <v>242</v>
      </c>
      <c r="D169">
        <v>234</v>
      </c>
      <c r="E169">
        <f t="shared" si="6"/>
        <v>-8</v>
      </c>
      <c r="F169">
        <f t="shared" si="7"/>
        <v>8</v>
      </c>
      <c r="G169" s="8">
        <f t="shared" si="8"/>
        <v>0.96581196581196582</v>
      </c>
      <c r="H169" s="9">
        <f>C169*Assumptions!$B$2/(Assumptions!$B$5*60*Assumptions!$B$3)</f>
        <v>56.941176470588232</v>
      </c>
      <c r="I169">
        <f>ROUNDUP(H169/(1-Assumptions!$B$4),0)</f>
        <v>82</v>
      </c>
      <c r="J169" s="9">
        <f>D169*Assumptions!$B$2/(Assumptions!$B$5*60*Assumptions!$B$3)</f>
        <v>55.058823529411768</v>
      </c>
    </row>
    <row r="170" spans="1:10">
      <c r="A170" s="6">
        <v>46280</v>
      </c>
      <c r="B170" s="7">
        <v>46272.5</v>
      </c>
      <c r="C170">
        <v>246</v>
      </c>
      <c r="D170">
        <v>232</v>
      </c>
      <c r="E170">
        <f t="shared" si="6"/>
        <v>-14</v>
      </c>
      <c r="F170">
        <f t="shared" si="7"/>
        <v>14</v>
      </c>
      <c r="G170" s="8">
        <f t="shared" si="8"/>
        <v>0.93965517241379315</v>
      </c>
      <c r="H170" s="9">
        <f>C170*Assumptions!$B$2/(Assumptions!$B$5*60*Assumptions!$B$3)</f>
        <v>57.882352941176471</v>
      </c>
      <c r="I170">
        <f>ROUNDUP(H170/(1-Assumptions!$B$4),0)</f>
        <v>83</v>
      </c>
      <c r="J170" s="9">
        <f>D170*Assumptions!$B$2/(Assumptions!$B$5*60*Assumptions!$B$3)</f>
        <v>54.588235294117645</v>
      </c>
    </row>
    <row r="171" spans="1:10">
      <c r="A171" s="6">
        <v>46280</v>
      </c>
      <c r="B171" s="7">
        <v>46272.520833333336</v>
      </c>
      <c r="C171">
        <v>205</v>
      </c>
      <c r="D171">
        <v>223</v>
      </c>
      <c r="E171">
        <f t="shared" si="6"/>
        <v>18</v>
      </c>
      <c r="F171">
        <f t="shared" si="7"/>
        <v>18</v>
      </c>
      <c r="G171" s="8">
        <f t="shared" si="8"/>
        <v>0.91928251121076232</v>
      </c>
      <c r="H171" s="9">
        <f>C171*Assumptions!$B$2/(Assumptions!$B$5*60*Assumptions!$B$3)</f>
        <v>48.235294117647058</v>
      </c>
      <c r="I171">
        <f>ROUNDUP(H171/(1-Assumptions!$B$4),0)</f>
        <v>69</v>
      </c>
      <c r="J171" s="9">
        <f>D171*Assumptions!$B$2/(Assumptions!$B$5*60*Assumptions!$B$3)</f>
        <v>52.470588235294116</v>
      </c>
    </row>
    <row r="172" spans="1:10">
      <c r="A172" s="6">
        <v>46280</v>
      </c>
      <c r="B172" s="7">
        <v>46272.541666666664</v>
      </c>
      <c r="C172">
        <v>181</v>
      </c>
      <c r="D172">
        <v>169</v>
      </c>
      <c r="E172">
        <f t="shared" si="6"/>
        <v>-12</v>
      </c>
      <c r="F172">
        <f t="shared" si="7"/>
        <v>12</v>
      </c>
      <c r="G172" s="8">
        <f t="shared" si="8"/>
        <v>0.92899408284023666</v>
      </c>
      <c r="H172" s="9">
        <f>C172*Assumptions!$B$2/(Assumptions!$B$5*60*Assumptions!$B$3)</f>
        <v>42.588235294117645</v>
      </c>
      <c r="I172">
        <f>ROUNDUP(H172/(1-Assumptions!$B$4),0)</f>
        <v>61</v>
      </c>
      <c r="J172" s="9">
        <f>D172*Assumptions!$B$2/(Assumptions!$B$5*60*Assumptions!$B$3)</f>
        <v>39.764705882352942</v>
      </c>
    </row>
    <row r="173" spans="1:10">
      <c r="A173" s="6">
        <v>46280</v>
      </c>
      <c r="B173" s="7">
        <v>46272.5625</v>
      </c>
      <c r="C173">
        <v>188</v>
      </c>
      <c r="D173">
        <v>168</v>
      </c>
      <c r="E173">
        <f t="shared" si="6"/>
        <v>-20</v>
      </c>
      <c r="F173">
        <f t="shared" si="7"/>
        <v>20</v>
      </c>
      <c r="G173" s="8">
        <f t="shared" si="8"/>
        <v>0.88095238095238093</v>
      </c>
      <c r="H173" s="9">
        <f>C173*Assumptions!$B$2/(Assumptions!$B$5*60*Assumptions!$B$3)</f>
        <v>44.235294117647058</v>
      </c>
      <c r="I173">
        <f>ROUNDUP(H173/(1-Assumptions!$B$4),0)</f>
        <v>64</v>
      </c>
      <c r="J173" s="9">
        <f>D173*Assumptions!$B$2/(Assumptions!$B$5*60*Assumptions!$B$3)</f>
        <v>39.529411764705884</v>
      </c>
    </row>
    <row r="174" spans="1:10">
      <c r="A174" s="6">
        <v>46280</v>
      </c>
      <c r="B174" s="7">
        <v>46272.583333333336</v>
      </c>
      <c r="C174">
        <v>204</v>
      </c>
      <c r="D174">
        <v>223</v>
      </c>
      <c r="E174">
        <f t="shared" si="6"/>
        <v>19</v>
      </c>
      <c r="F174">
        <f t="shared" si="7"/>
        <v>19</v>
      </c>
      <c r="G174" s="8">
        <f t="shared" si="8"/>
        <v>0.91479820627802688</v>
      </c>
      <c r="H174" s="9">
        <f>C174*Assumptions!$B$2/(Assumptions!$B$5*60*Assumptions!$B$3)</f>
        <v>48</v>
      </c>
      <c r="I174">
        <f>ROUNDUP(H174/(1-Assumptions!$B$4),0)</f>
        <v>69</v>
      </c>
      <c r="J174" s="9">
        <f>D174*Assumptions!$B$2/(Assumptions!$B$5*60*Assumptions!$B$3)</f>
        <v>52.470588235294116</v>
      </c>
    </row>
    <row r="175" spans="1:10">
      <c r="A175" s="6">
        <v>46280</v>
      </c>
      <c r="B175" s="7">
        <v>46272.604166666664</v>
      </c>
      <c r="C175">
        <v>209</v>
      </c>
      <c r="D175">
        <v>229</v>
      </c>
      <c r="E175">
        <f t="shared" si="6"/>
        <v>20</v>
      </c>
      <c r="F175">
        <f t="shared" si="7"/>
        <v>20</v>
      </c>
      <c r="G175" s="8">
        <f t="shared" si="8"/>
        <v>0.9126637554585153</v>
      </c>
      <c r="H175" s="9">
        <f>C175*Assumptions!$B$2/(Assumptions!$B$5*60*Assumptions!$B$3)</f>
        <v>49.176470588235297</v>
      </c>
      <c r="I175">
        <f>ROUNDUP(H175/(1-Assumptions!$B$4),0)</f>
        <v>71</v>
      </c>
      <c r="J175" s="9">
        <f>D175*Assumptions!$B$2/(Assumptions!$B$5*60*Assumptions!$B$3)</f>
        <v>53.882352941176471</v>
      </c>
    </row>
    <row r="176" spans="1:10">
      <c r="A176" s="6">
        <v>46280</v>
      </c>
      <c r="B176" s="7">
        <v>46272.625</v>
      </c>
      <c r="C176">
        <v>185</v>
      </c>
      <c r="D176">
        <v>199</v>
      </c>
      <c r="E176">
        <f t="shared" si="6"/>
        <v>14</v>
      </c>
      <c r="F176">
        <f t="shared" si="7"/>
        <v>14</v>
      </c>
      <c r="G176" s="8">
        <f t="shared" si="8"/>
        <v>0.92964824120603018</v>
      </c>
      <c r="H176" s="9">
        <f>C176*Assumptions!$B$2/(Assumptions!$B$5*60*Assumptions!$B$3)</f>
        <v>43.529411764705884</v>
      </c>
      <c r="I176">
        <f>ROUNDUP(H176/(1-Assumptions!$B$4),0)</f>
        <v>63</v>
      </c>
      <c r="J176" s="9">
        <f>D176*Assumptions!$B$2/(Assumptions!$B$5*60*Assumptions!$B$3)</f>
        <v>46.823529411764703</v>
      </c>
    </row>
    <row r="177" spans="1:10">
      <c r="A177" s="6">
        <v>46280</v>
      </c>
      <c r="B177" s="7">
        <v>46272.645833333336</v>
      </c>
      <c r="C177">
        <v>175</v>
      </c>
      <c r="D177">
        <v>183</v>
      </c>
      <c r="E177">
        <f t="shared" si="6"/>
        <v>8</v>
      </c>
      <c r="F177">
        <f t="shared" si="7"/>
        <v>8</v>
      </c>
      <c r="G177" s="8">
        <f t="shared" si="8"/>
        <v>0.95628415300546443</v>
      </c>
      <c r="H177" s="9">
        <f>C177*Assumptions!$B$2/(Assumptions!$B$5*60*Assumptions!$B$3)</f>
        <v>41.176470588235297</v>
      </c>
      <c r="I177">
        <f>ROUNDUP(H177/(1-Assumptions!$B$4),0)</f>
        <v>59</v>
      </c>
      <c r="J177" s="9">
        <f>D177*Assumptions!$B$2/(Assumptions!$B$5*60*Assumptions!$B$3)</f>
        <v>43.058823529411768</v>
      </c>
    </row>
    <row r="178" spans="1:10">
      <c r="A178" s="6">
        <v>46280</v>
      </c>
      <c r="B178" s="7">
        <v>46272.666666666664</v>
      </c>
      <c r="C178">
        <v>148</v>
      </c>
      <c r="D178">
        <v>157</v>
      </c>
      <c r="E178">
        <f t="shared" si="6"/>
        <v>9</v>
      </c>
      <c r="F178">
        <f t="shared" si="7"/>
        <v>9</v>
      </c>
      <c r="G178" s="8">
        <f t="shared" si="8"/>
        <v>0.9426751592356688</v>
      </c>
      <c r="H178" s="9">
        <f>C178*Assumptions!$B$2/(Assumptions!$B$5*60*Assumptions!$B$3)</f>
        <v>34.823529411764703</v>
      </c>
      <c r="I178">
        <f>ROUNDUP(H178/(1-Assumptions!$B$4),0)</f>
        <v>50</v>
      </c>
      <c r="J178" s="9">
        <f>D178*Assumptions!$B$2/(Assumptions!$B$5*60*Assumptions!$B$3)</f>
        <v>36.941176470588232</v>
      </c>
    </row>
    <row r="179" spans="1:10">
      <c r="A179" s="6">
        <v>46280</v>
      </c>
      <c r="B179" s="7">
        <v>46272.6875</v>
      </c>
      <c r="C179">
        <v>135</v>
      </c>
      <c r="D179">
        <v>133</v>
      </c>
      <c r="E179">
        <f t="shared" si="6"/>
        <v>-2</v>
      </c>
      <c r="F179">
        <f t="shared" si="7"/>
        <v>2</v>
      </c>
      <c r="G179" s="8">
        <f t="shared" si="8"/>
        <v>0.98496240601503759</v>
      </c>
      <c r="H179" s="9">
        <f>C179*Assumptions!$B$2/(Assumptions!$B$5*60*Assumptions!$B$3)</f>
        <v>31.764705882352942</v>
      </c>
      <c r="I179">
        <f>ROUNDUP(H179/(1-Assumptions!$B$4),0)</f>
        <v>46</v>
      </c>
      <c r="J179" s="9">
        <f>D179*Assumptions!$B$2/(Assumptions!$B$5*60*Assumptions!$B$3)</f>
        <v>31.294117647058822</v>
      </c>
    </row>
    <row r="180" spans="1:10">
      <c r="A180" s="6">
        <v>46280</v>
      </c>
      <c r="B180" s="7">
        <v>46272.708333333336</v>
      </c>
      <c r="C180">
        <v>131</v>
      </c>
      <c r="D180">
        <v>141</v>
      </c>
      <c r="E180">
        <f t="shared" si="6"/>
        <v>10</v>
      </c>
      <c r="F180">
        <f t="shared" si="7"/>
        <v>10</v>
      </c>
      <c r="G180" s="8">
        <f t="shared" si="8"/>
        <v>0.92907801418439717</v>
      </c>
      <c r="H180" s="9">
        <f>C180*Assumptions!$B$2/(Assumptions!$B$5*60*Assumptions!$B$3)</f>
        <v>30.823529411764707</v>
      </c>
      <c r="I180">
        <f>ROUNDUP(H180/(1-Assumptions!$B$4),0)</f>
        <v>45</v>
      </c>
      <c r="J180" s="9">
        <f>D180*Assumptions!$B$2/(Assumptions!$B$5*60*Assumptions!$B$3)</f>
        <v>33.176470588235297</v>
      </c>
    </row>
    <row r="181" spans="1:10">
      <c r="A181" s="6">
        <v>46280</v>
      </c>
      <c r="B181" s="7">
        <v>46272.729166666664</v>
      </c>
      <c r="C181">
        <v>120</v>
      </c>
      <c r="D181">
        <v>107</v>
      </c>
      <c r="E181">
        <f t="shared" si="6"/>
        <v>-13</v>
      </c>
      <c r="F181">
        <f t="shared" si="7"/>
        <v>13</v>
      </c>
      <c r="G181" s="8">
        <f t="shared" si="8"/>
        <v>0.87850467289719625</v>
      </c>
      <c r="H181" s="9">
        <f>C181*Assumptions!$B$2/(Assumptions!$B$5*60*Assumptions!$B$3)</f>
        <v>28.235294117647058</v>
      </c>
      <c r="I181">
        <f>ROUNDUP(H181/(1-Assumptions!$B$4),0)</f>
        <v>41</v>
      </c>
      <c r="J181" s="9">
        <f>D181*Assumptions!$B$2/(Assumptions!$B$5*60*Assumptions!$B$3)</f>
        <v>25.176470588235293</v>
      </c>
    </row>
    <row r="182" spans="1:10">
      <c r="A182" s="6">
        <v>46281</v>
      </c>
      <c r="B182" s="7">
        <v>46272.333333333336</v>
      </c>
      <c r="C182">
        <v>86</v>
      </c>
      <c r="D182">
        <v>77</v>
      </c>
      <c r="E182">
        <f t="shared" si="6"/>
        <v>-9</v>
      </c>
      <c r="F182">
        <f t="shared" si="7"/>
        <v>9</v>
      </c>
      <c r="G182" s="8">
        <f t="shared" si="8"/>
        <v>0.88311688311688308</v>
      </c>
      <c r="H182" s="9">
        <f>C182*Assumptions!$B$2/(Assumptions!$B$5*60*Assumptions!$B$3)</f>
        <v>20.235294117647058</v>
      </c>
      <c r="I182">
        <f>ROUNDUP(H182/(1-Assumptions!$B$4),0)</f>
        <v>29</v>
      </c>
      <c r="J182" s="9">
        <f>D182*Assumptions!$B$2/(Assumptions!$B$5*60*Assumptions!$B$3)</f>
        <v>18.117647058823529</v>
      </c>
    </row>
    <row r="183" spans="1:10">
      <c r="A183" s="6">
        <v>46281</v>
      </c>
      <c r="B183" s="7">
        <v>46272.354166666664</v>
      </c>
      <c r="C183">
        <v>124</v>
      </c>
      <c r="D183">
        <v>131</v>
      </c>
      <c r="E183">
        <f t="shared" si="6"/>
        <v>7</v>
      </c>
      <c r="F183">
        <f t="shared" si="7"/>
        <v>7</v>
      </c>
      <c r="G183" s="8">
        <f t="shared" si="8"/>
        <v>0.94656488549618323</v>
      </c>
      <c r="H183" s="9">
        <f>C183*Assumptions!$B$2/(Assumptions!$B$5*60*Assumptions!$B$3)</f>
        <v>29.176470588235293</v>
      </c>
      <c r="I183">
        <f>ROUNDUP(H183/(1-Assumptions!$B$4),0)</f>
        <v>42</v>
      </c>
      <c r="J183" s="9">
        <f>D183*Assumptions!$B$2/(Assumptions!$B$5*60*Assumptions!$B$3)</f>
        <v>30.823529411764707</v>
      </c>
    </row>
    <row r="184" spans="1:10">
      <c r="A184" s="6">
        <v>46281</v>
      </c>
      <c r="B184" s="7">
        <v>46272.375</v>
      </c>
      <c r="C184">
        <v>157</v>
      </c>
      <c r="D184">
        <v>145</v>
      </c>
      <c r="E184">
        <f t="shared" si="6"/>
        <v>-12</v>
      </c>
      <c r="F184">
        <f t="shared" si="7"/>
        <v>12</v>
      </c>
      <c r="G184" s="8">
        <f t="shared" si="8"/>
        <v>0.91724137931034488</v>
      </c>
      <c r="H184" s="9">
        <f>C184*Assumptions!$B$2/(Assumptions!$B$5*60*Assumptions!$B$3)</f>
        <v>36.941176470588232</v>
      </c>
      <c r="I184">
        <f>ROUNDUP(H184/(1-Assumptions!$B$4),0)</f>
        <v>53</v>
      </c>
      <c r="J184" s="9">
        <f>D184*Assumptions!$B$2/(Assumptions!$B$5*60*Assumptions!$B$3)</f>
        <v>34.117647058823529</v>
      </c>
    </row>
    <row r="185" spans="1:10">
      <c r="A185" s="6">
        <v>46281</v>
      </c>
      <c r="B185" s="7">
        <v>46272.395833333336</v>
      </c>
      <c r="C185">
        <v>192</v>
      </c>
      <c r="D185">
        <v>197</v>
      </c>
      <c r="E185">
        <f t="shared" si="6"/>
        <v>5</v>
      </c>
      <c r="F185">
        <f t="shared" si="7"/>
        <v>5</v>
      </c>
      <c r="G185" s="8">
        <f t="shared" si="8"/>
        <v>0.97461928934010156</v>
      </c>
      <c r="H185" s="9">
        <f>C185*Assumptions!$B$2/(Assumptions!$B$5*60*Assumptions!$B$3)</f>
        <v>45.176470588235297</v>
      </c>
      <c r="I185">
        <f>ROUNDUP(H185/(1-Assumptions!$B$4),0)</f>
        <v>65</v>
      </c>
      <c r="J185" s="9">
        <f>D185*Assumptions!$B$2/(Assumptions!$B$5*60*Assumptions!$B$3)</f>
        <v>46.352941176470587</v>
      </c>
    </row>
    <row r="186" spans="1:10">
      <c r="A186" s="6">
        <v>46281</v>
      </c>
      <c r="B186" s="7">
        <v>46272.416666666664</v>
      </c>
      <c r="C186">
        <v>220</v>
      </c>
      <c r="D186">
        <v>198</v>
      </c>
      <c r="E186">
        <f t="shared" si="6"/>
        <v>-22</v>
      </c>
      <c r="F186">
        <f t="shared" si="7"/>
        <v>22</v>
      </c>
      <c r="G186" s="8">
        <f t="shared" si="8"/>
        <v>0.88888888888888884</v>
      </c>
      <c r="H186" s="9">
        <f>C186*Assumptions!$B$2/(Assumptions!$B$5*60*Assumptions!$B$3)</f>
        <v>51.764705882352942</v>
      </c>
      <c r="I186">
        <f>ROUNDUP(H186/(1-Assumptions!$B$4),0)</f>
        <v>74</v>
      </c>
      <c r="J186" s="9">
        <f>D186*Assumptions!$B$2/(Assumptions!$B$5*60*Assumptions!$B$3)</f>
        <v>46.588235294117645</v>
      </c>
    </row>
    <row r="187" spans="1:10">
      <c r="A187" s="6">
        <v>46281</v>
      </c>
      <c r="B187" s="7">
        <v>46272.4375</v>
      </c>
      <c r="C187">
        <v>269</v>
      </c>
      <c r="D187">
        <v>295</v>
      </c>
      <c r="E187">
        <f t="shared" si="6"/>
        <v>26</v>
      </c>
      <c r="F187">
        <f t="shared" si="7"/>
        <v>26</v>
      </c>
      <c r="G187" s="8">
        <f t="shared" si="8"/>
        <v>0.91186440677966107</v>
      </c>
      <c r="H187" s="9">
        <f>C187*Assumptions!$B$2/(Assumptions!$B$5*60*Assumptions!$B$3)</f>
        <v>63.294117647058826</v>
      </c>
      <c r="I187">
        <f>ROUNDUP(H187/(1-Assumptions!$B$4),0)</f>
        <v>91</v>
      </c>
      <c r="J187" s="9">
        <f>D187*Assumptions!$B$2/(Assumptions!$B$5*60*Assumptions!$B$3)</f>
        <v>69.411764705882348</v>
      </c>
    </row>
    <row r="188" spans="1:10">
      <c r="A188" s="6">
        <v>46281</v>
      </c>
      <c r="B188" s="7">
        <v>46272.458333333336</v>
      </c>
      <c r="C188">
        <v>284</v>
      </c>
      <c r="D188">
        <v>255</v>
      </c>
      <c r="E188">
        <f t="shared" si="6"/>
        <v>-29</v>
      </c>
      <c r="F188">
        <f t="shared" si="7"/>
        <v>29</v>
      </c>
      <c r="G188" s="8">
        <f t="shared" si="8"/>
        <v>0.88627450980392153</v>
      </c>
      <c r="H188" s="9">
        <f>C188*Assumptions!$B$2/(Assumptions!$B$5*60*Assumptions!$B$3)</f>
        <v>66.82352941176471</v>
      </c>
      <c r="I188">
        <f>ROUNDUP(H188/(1-Assumptions!$B$4),0)</f>
        <v>96</v>
      </c>
      <c r="J188" s="9">
        <f>D188*Assumptions!$B$2/(Assumptions!$B$5*60*Assumptions!$B$3)</f>
        <v>60</v>
      </c>
    </row>
    <row r="189" spans="1:10">
      <c r="A189" s="6">
        <v>46281</v>
      </c>
      <c r="B189" s="7">
        <v>46272.479166666664</v>
      </c>
      <c r="C189">
        <v>265</v>
      </c>
      <c r="D189">
        <v>250</v>
      </c>
      <c r="E189">
        <f t="shared" si="6"/>
        <v>-15</v>
      </c>
      <c r="F189">
        <f t="shared" si="7"/>
        <v>15</v>
      </c>
      <c r="G189" s="8">
        <f t="shared" si="8"/>
        <v>0.94</v>
      </c>
      <c r="H189" s="9">
        <f>C189*Assumptions!$B$2/(Assumptions!$B$5*60*Assumptions!$B$3)</f>
        <v>62.352941176470587</v>
      </c>
      <c r="I189">
        <f>ROUNDUP(H189/(1-Assumptions!$B$4),0)</f>
        <v>90</v>
      </c>
      <c r="J189" s="9">
        <f>D189*Assumptions!$B$2/(Assumptions!$B$5*60*Assumptions!$B$3)</f>
        <v>58.823529411764703</v>
      </c>
    </row>
    <row r="190" spans="1:10">
      <c r="A190" s="6">
        <v>46281</v>
      </c>
      <c r="B190" s="7">
        <v>46272.5</v>
      </c>
      <c r="C190">
        <v>248</v>
      </c>
      <c r="D190">
        <v>234</v>
      </c>
      <c r="E190">
        <f t="shared" si="6"/>
        <v>-14</v>
      </c>
      <c r="F190">
        <f t="shared" si="7"/>
        <v>14</v>
      </c>
      <c r="G190" s="8">
        <f t="shared" si="8"/>
        <v>0.94017094017094016</v>
      </c>
      <c r="H190" s="9">
        <f>C190*Assumptions!$B$2/(Assumptions!$B$5*60*Assumptions!$B$3)</f>
        <v>58.352941176470587</v>
      </c>
      <c r="I190">
        <f>ROUNDUP(H190/(1-Assumptions!$B$4),0)</f>
        <v>84</v>
      </c>
      <c r="J190" s="9">
        <f>D190*Assumptions!$B$2/(Assumptions!$B$5*60*Assumptions!$B$3)</f>
        <v>55.058823529411768</v>
      </c>
    </row>
    <row r="191" spans="1:10">
      <c r="A191" s="6">
        <v>46281</v>
      </c>
      <c r="B191" s="7">
        <v>46272.520833333336</v>
      </c>
      <c r="C191">
        <v>207</v>
      </c>
      <c r="D191">
        <v>230</v>
      </c>
      <c r="E191">
        <f t="shared" si="6"/>
        <v>23</v>
      </c>
      <c r="F191">
        <f t="shared" si="7"/>
        <v>23</v>
      </c>
      <c r="G191" s="8">
        <f t="shared" si="8"/>
        <v>0.9</v>
      </c>
      <c r="H191" s="9">
        <f>C191*Assumptions!$B$2/(Assumptions!$B$5*60*Assumptions!$B$3)</f>
        <v>48.705882352941174</v>
      </c>
      <c r="I191">
        <f>ROUNDUP(H191/(1-Assumptions!$B$4),0)</f>
        <v>70</v>
      </c>
      <c r="J191" s="9">
        <f>D191*Assumptions!$B$2/(Assumptions!$B$5*60*Assumptions!$B$3)</f>
        <v>54.117647058823529</v>
      </c>
    </row>
    <row r="192" spans="1:10">
      <c r="A192" s="6">
        <v>46281</v>
      </c>
      <c r="B192" s="7">
        <v>46272.541666666664</v>
      </c>
      <c r="C192">
        <v>192</v>
      </c>
      <c r="D192">
        <v>189</v>
      </c>
      <c r="E192">
        <f t="shared" si="6"/>
        <v>-3</v>
      </c>
      <c r="F192">
        <f t="shared" si="7"/>
        <v>3</v>
      </c>
      <c r="G192" s="8">
        <f t="shared" si="8"/>
        <v>0.98412698412698418</v>
      </c>
      <c r="H192" s="9">
        <f>C192*Assumptions!$B$2/(Assumptions!$B$5*60*Assumptions!$B$3)</f>
        <v>45.176470588235297</v>
      </c>
      <c r="I192">
        <f>ROUNDUP(H192/(1-Assumptions!$B$4),0)</f>
        <v>65</v>
      </c>
      <c r="J192" s="9">
        <f>D192*Assumptions!$B$2/(Assumptions!$B$5*60*Assumptions!$B$3)</f>
        <v>44.470588235294116</v>
      </c>
    </row>
    <row r="193" spans="1:10">
      <c r="A193" s="6">
        <v>46281</v>
      </c>
      <c r="B193" s="7">
        <v>46272.5625</v>
      </c>
      <c r="C193">
        <v>203</v>
      </c>
      <c r="D193">
        <v>200</v>
      </c>
      <c r="E193">
        <f t="shared" si="6"/>
        <v>-3</v>
      </c>
      <c r="F193">
        <f t="shared" si="7"/>
        <v>3</v>
      </c>
      <c r="G193" s="8">
        <f t="shared" si="8"/>
        <v>0.98499999999999999</v>
      </c>
      <c r="H193" s="9">
        <f>C193*Assumptions!$B$2/(Assumptions!$B$5*60*Assumptions!$B$3)</f>
        <v>47.764705882352942</v>
      </c>
      <c r="I193">
        <f>ROUNDUP(H193/(1-Assumptions!$B$4),0)</f>
        <v>69</v>
      </c>
      <c r="J193" s="9">
        <f>D193*Assumptions!$B$2/(Assumptions!$B$5*60*Assumptions!$B$3)</f>
        <v>47.058823529411768</v>
      </c>
    </row>
    <row r="194" spans="1:10">
      <c r="A194" s="6">
        <v>46281</v>
      </c>
      <c r="B194" s="7">
        <v>46272.583333333336</v>
      </c>
      <c r="C194">
        <v>209</v>
      </c>
      <c r="D194">
        <v>197</v>
      </c>
      <c r="E194">
        <f t="shared" ref="E194:E257" si="9">D194-C194</f>
        <v>-12</v>
      </c>
      <c r="F194">
        <f t="shared" ref="F194:F257" si="10">ABS(E194)</f>
        <v>12</v>
      </c>
      <c r="G194" s="8">
        <f t="shared" ref="G194:G257" si="11">IFERROR(1-F194/D194,0)</f>
        <v>0.93908629441624369</v>
      </c>
      <c r="H194" s="9">
        <f>C194*Assumptions!$B$2/(Assumptions!$B$5*60*Assumptions!$B$3)</f>
        <v>49.176470588235297</v>
      </c>
      <c r="I194">
        <f>ROUNDUP(H194/(1-Assumptions!$B$4),0)</f>
        <v>71</v>
      </c>
      <c r="J194" s="9">
        <f>D194*Assumptions!$B$2/(Assumptions!$B$5*60*Assumptions!$B$3)</f>
        <v>46.352941176470587</v>
      </c>
    </row>
    <row r="195" spans="1:10">
      <c r="A195" s="6">
        <v>46281</v>
      </c>
      <c r="B195" s="7">
        <v>46272.604166666664</v>
      </c>
      <c r="C195">
        <v>205</v>
      </c>
      <c r="D195">
        <v>222</v>
      </c>
      <c r="E195">
        <f t="shared" si="9"/>
        <v>17</v>
      </c>
      <c r="F195">
        <f t="shared" si="10"/>
        <v>17</v>
      </c>
      <c r="G195" s="8">
        <f t="shared" si="11"/>
        <v>0.92342342342342343</v>
      </c>
      <c r="H195" s="9">
        <f>C195*Assumptions!$B$2/(Assumptions!$B$5*60*Assumptions!$B$3)</f>
        <v>48.235294117647058</v>
      </c>
      <c r="I195">
        <f>ROUNDUP(H195/(1-Assumptions!$B$4),0)</f>
        <v>69</v>
      </c>
      <c r="J195" s="9">
        <f>D195*Assumptions!$B$2/(Assumptions!$B$5*60*Assumptions!$B$3)</f>
        <v>52.235294117647058</v>
      </c>
    </row>
    <row r="196" spans="1:10">
      <c r="A196" s="6">
        <v>46281</v>
      </c>
      <c r="B196" s="7">
        <v>46272.625</v>
      </c>
      <c r="C196">
        <v>202</v>
      </c>
      <c r="D196">
        <v>207</v>
      </c>
      <c r="E196">
        <f t="shared" si="9"/>
        <v>5</v>
      </c>
      <c r="F196">
        <f t="shared" si="10"/>
        <v>5</v>
      </c>
      <c r="G196" s="8">
        <f t="shared" si="11"/>
        <v>0.97584541062801933</v>
      </c>
      <c r="H196" s="9">
        <f>C196*Assumptions!$B$2/(Assumptions!$B$5*60*Assumptions!$B$3)</f>
        <v>47.529411764705884</v>
      </c>
      <c r="I196">
        <f>ROUNDUP(H196/(1-Assumptions!$B$4),0)</f>
        <v>68</v>
      </c>
      <c r="J196" s="9">
        <f>D196*Assumptions!$B$2/(Assumptions!$B$5*60*Assumptions!$B$3)</f>
        <v>48.705882352941174</v>
      </c>
    </row>
    <row r="197" spans="1:10">
      <c r="A197" s="6">
        <v>46281</v>
      </c>
      <c r="B197" s="7">
        <v>46272.645833333336</v>
      </c>
      <c r="C197">
        <v>179</v>
      </c>
      <c r="D197">
        <v>162</v>
      </c>
      <c r="E197">
        <f t="shared" si="9"/>
        <v>-17</v>
      </c>
      <c r="F197">
        <f t="shared" si="10"/>
        <v>17</v>
      </c>
      <c r="G197" s="8">
        <f t="shared" si="11"/>
        <v>0.89506172839506171</v>
      </c>
      <c r="H197" s="9">
        <f>C197*Assumptions!$B$2/(Assumptions!$B$5*60*Assumptions!$B$3)</f>
        <v>42.117647058823529</v>
      </c>
      <c r="I197">
        <f>ROUNDUP(H197/(1-Assumptions!$B$4),0)</f>
        <v>61</v>
      </c>
      <c r="J197" s="9">
        <f>D197*Assumptions!$B$2/(Assumptions!$B$5*60*Assumptions!$B$3)</f>
        <v>38.117647058823529</v>
      </c>
    </row>
    <row r="198" spans="1:10">
      <c r="A198" s="6">
        <v>46281</v>
      </c>
      <c r="B198" s="7">
        <v>46272.666666666664</v>
      </c>
      <c r="C198">
        <v>153</v>
      </c>
      <c r="D198">
        <v>148</v>
      </c>
      <c r="E198">
        <f t="shared" si="9"/>
        <v>-5</v>
      </c>
      <c r="F198">
        <f t="shared" si="10"/>
        <v>5</v>
      </c>
      <c r="G198" s="8">
        <f t="shared" si="11"/>
        <v>0.96621621621621623</v>
      </c>
      <c r="H198" s="9">
        <f>C198*Assumptions!$B$2/(Assumptions!$B$5*60*Assumptions!$B$3)</f>
        <v>36</v>
      </c>
      <c r="I198">
        <f>ROUNDUP(H198/(1-Assumptions!$B$4),0)</f>
        <v>52</v>
      </c>
      <c r="J198" s="9">
        <f>D198*Assumptions!$B$2/(Assumptions!$B$5*60*Assumptions!$B$3)</f>
        <v>34.823529411764703</v>
      </c>
    </row>
    <row r="199" spans="1:10">
      <c r="A199" s="6">
        <v>46281</v>
      </c>
      <c r="B199" s="7">
        <v>46272.6875</v>
      </c>
      <c r="C199">
        <v>136</v>
      </c>
      <c r="D199">
        <v>143</v>
      </c>
      <c r="E199">
        <f t="shared" si="9"/>
        <v>7</v>
      </c>
      <c r="F199">
        <f t="shared" si="10"/>
        <v>7</v>
      </c>
      <c r="G199" s="8">
        <f t="shared" si="11"/>
        <v>0.95104895104895104</v>
      </c>
      <c r="H199" s="9">
        <f>C199*Assumptions!$B$2/(Assumptions!$B$5*60*Assumptions!$B$3)</f>
        <v>32</v>
      </c>
      <c r="I199">
        <f>ROUNDUP(H199/(1-Assumptions!$B$4),0)</f>
        <v>46</v>
      </c>
      <c r="J199" s="9">
        <f>D199*Assumptions!$B$2/(Assumptions!$B$5*60*Assumptions!$B$3)</f>
        <v>33.647058823529413</v>
      </c>
    </row>
    <row r="200" spans="1:10">
      <c r="A200" s="6">
        <v>46281</v>
      </c>
      <c r="B200" s="7">
        <v>46272.708333333336</v>
      </c>
      <c r="C200">
        <v>144</v>
      </c>
      <c r="D200">
        <v>156</v>
      </c>
      <c r="E200">
        <f t="shared" si="9"/>
        <v>12</v>
      </c>
      <c r="F200">
        <f t="shared" si="10"/>
        <v>12</v>
      </c>
      <c r="G200" s="8">
        <f t="shared" si="11"/>
        <v>0.92307692307692313</v>
      </c>
      <c r="H200" s="9">
        <f>C200*Assumptions!$B$2/(Assumptions!$B$5*60*Assumptions!$B$3)</f>
        <v>33.882352941176471</v>
      </c>
      <c r="I200">
        <f>ROUNDUP(H200/(1-Assumptions!$B$4),0)</f>
        <v>49</v>
      </c>
      <c r="J200" s="9">
        <f>D200*Assumptions!$B$2/(Assumptions!$B$5*60*Assumptions!$B$3)</f>
        <v>36.705882352941174</v>
      </c>
    </row>
    <row r="201" spans="1:10">
      <c r="A201" s="6">
        <v>46281</v>
      </c>
      <c r="B201" s="7">
        <v>46272.729166666664</v>
      </c>
      <c r="C201">
        <v>122</v>
      </c>
      <c r="D201">
        <v>122</v>
      </c>
      <c r="E201">
        <f t="shared" si="9"/>
        <v>0</v>
      </c>
      <c r="F201">
        <f t="shared" si="10"/>
        <v>0</v>
      </c>
      <c r="G201" s="8">
        <f t="shared" si="11"/>
        <v>1</v>
      </c>
      <c r="H201" s="9">
        <f>C201*Assumptions!$B$2/(Assumptions!$B$5*60*Assumptions!$B$3)</f>
        <v>28.705882352941178</v>
      </c>
      <c r="I201">
        <f>ROUNDUP(H201/(1-Assumptions!$B$4),0)</f>
        <v>42</v>
      </c>
      <c r="J201" s="9">
        <f>D201*Assumptions!$B$2/(Assumptions!$B$5*60*Assumptions!$B$3)</f>
        <v>28.705882352941178</v>
      </c>
    </row>
    <row r="202" spans="1:10">
      <c r="A202" s="6">
        <v>46282</v>
      </c>
      <c r="B202" s="7">
        <v>46272.333333333336</v>
      </c>
      <c r="C202">
        <v>83</v>
      </c>
      <c r="D202">
        <v>81</v>
      </c>
      <c r="E202">
        <f t="shared" si="9"/>
        <v>-2</v>
      </c>
      <c r="F202">
        <f t="shared" si="10"/>
        <v>2</v>
      </c>
      <c r="G202" s="8">
        <f t="shared" si="11"/>
        <v>0.97530864197530864</v>
      </c>
      <c r="H202" s="9">
        <f>C202*Assumptions!$B$2/(Assumptions!$B$5*60*Assumptions!$B$3)</f>
        <v>19.529411764705884</v>
      </c>
      <c r="I202">
        <f>ROUNDUP(H202/(1-Assumptions!$B$4),0)</f>
        <v>28</v>
      </c>
      <c r="J202" s="9">
        <f>D202*Assumptions!$B$2/(Assumptions!$B$5*60*Assumptions!$B$3)</f>
        <v>19.058823529411764</v>
      </c>
    </row>
    <row r="203" spans="1:10">
      <c r="A203" s="6">
        <v>46282</v>
      </c>
      <c r="B203" s="7">
        <v>46272.354166666664</v>
      </c>
      <c r="C203">
        <v>125</v>
      </c>
      <c r="D203">
        <v>117</v>
      </c>
      <c r="E203">
        <f t="shared" si="9"/>
        <v>-8</v>
      </c>
      <c r="F203">
        <f t="shared" si="10"/>
        <v>8</v>
      </c>
      <c r="G203" s="8">
        <f t="shared" si="11"/>
        <v>0.93162393162393164</v>
      </c>
      <c r="H203" s="9">
        <f>C203*Assumptions!$B$2/(Assumptions!$B$5*60*Assumptions!$B$3)</f>
        <v>29.411764705882351</v>
      </c>
      <c r="I203">
        <f>ROUNDUP(H203/(1-Assumptions!$B$4),0)</f>
        <v>43</v>
      </c>
      <c r="J203" s="9">
        <f>D203*Assumptions!$B$2/(Assumptions!$B$5*60*Assumptions!$B$3)</f>
        <v>27.529411764705884</v>
      </c>
    </row>
    <row r="204" spans="1:10">
      <c r="A204" s="6">
        <v>46282</v>
      </c>
      <c r="B204" s="7">
        <v>46272.375</v>
      </c>
      <c r="C204">
        <v>156</v>
      </c>
      <c r="D204">
        <v>158</v>
      </c>
      <c r="E204">
        <f t="shared" si="9"/>
        <v>2</v>
      </c>
      <c r="F204">
        <f t="shared" si="10"/>
        <v>2</v>
      </c>
      <c r="G204" s="8">
        <f t="shared" si="11"/>
        <v>0.98734177215189878</v>
      </c>
      <c r="H204" s="9">
        <f>C204*Assumptions!$B$2/(Assumptions!$B$5*60*Assumptions!$B$3)</f>
        <v>36.705882352941174</v>
      </c>
      <c r="I204">
        <f>ROUNDUP(H204/(1-Assumptions!$B$4),0)</f>
        <v>53</v>
      </c>
      <c r="J204" s="9">
        <f>D204*Assumptions!$B$2/(Assumptions!$B$5*60*Assumptions!$B$3)</f>
        <v>37.176470588235297</v>
      </c>
    </row>
    <row r="205" spans="1:10">
      <c r="A205" s="6">
        <v>46282</v>
      </c>
      <c r="B205" s="7">
        <v>46272.395833333336</v>
      </c>
      <c r="C205">
        <v>185</v>
      </c>
      <c r="D205">
        <v>176</v>
      </c>
      <c r="E205">
        <f t="shared" si="9"/>
        <v>-9</v>
      </c>
      <c r="F205">
        <f t="shared" si="10"/>
        <v>9</v>
      </c>
      <c r="G205" s="8">
        <f t="shared" si="11"/>
        <v>0.94886363636363635</v>
      </c>
      <c r="H205" s="9">
        <f>C205*Assumptions!$B$2/(Assumptions!$B$5*60*Assumptions!$B$3)</f>
        <v>43.529411764705884</v>
      </c>
      <c r="I205">
        <f>ROUNDUP(H205/(1-Assumptions!$B$4),0)</f>
        <v>63</v>
      </c>
      <c r="J205" s="9">
        <f>D205*Assumptions!$B$2/(Assumptions!$B$5*60*Assumptions!$B$3)</f>
        <v>41.411764705882355</v>
      </c>
    </row>
    <row r="206" spans="1:10">
      <c r="A206" s="6">
        <v>46282</v>
      </c>
      <c r="B206" s="7">
        <v>46272.416666666664</v>
      </c>
      <c r="C206">
        <v>216</v>
      </c>
      <c r="D206">
        <v>233</v>
      </c>
      <c r="E206">
        <f t="shared" si="9"/>
        <v>17</v>
      </c>
      <c r="F206">
        <f t="shared" si="10"/>
        <v>17</v>
      </c>
      <c r="G206" s="8">
        <f t="shared" si="11"/>
        <v>0.92703862660944203</v>
      </c>
      <c r="H206" s="9">
        <f>C206*Assumptions!$B$2/(Assumptions!$B$5*60*Assumptions!$B$3)</f>
        <v>50.823529411764703</v>
      </c>
      <c r="I206">
        <f>ROUNDUP(H206/(1-Assumptions!$B$4),0)</f>
        <v>73</v>
      </c>
      <c r="J206" s="9">
        <f>D206*Assumptions!$B$2/(Assumptions!$B$5*60*Assumptions!$B$3)</f>
        <v>54.823529411764703</v>
      </c>
    </row>
    <row r="207" spans="1:10">
      <c r="A207" s="6">
        <v>46282</v>
      </c>
      <c r="B207" s="7">
        <v>46272.4375</v>
      </c>
      <c r="C207">
        <v>267</v>
      </c>
      <c r="D207">
        <v>289</v>
      </c>
      <c r="E207">
        <f t="shared" si="9"/>
        <v>22</v>
      </c>
      <c r="F207">
        <f t="shared" si="10"/>
        <v>22</v>
      </c>
      <c r="G207" s="8">
        <f t="shared" si="11"/>
        <v>0.9238754325259515</v>
      </c>
      <c r="H207" s="9">
        <f>C207*Assumptions!$B$2/(Assumptions!$B$5*60*Assumptions!$B$3)</f>
        <v>62.823529411764703</v>
      </c>
      <c r="I207">
        <f>ROUNDUP(H207/(1-Assumptions!$B$4),0)</f>
        <v>90</v>
      </c>
      <c r="J207" s="9">
        <f>D207*Assumptions!$B$2/(Assumptions!$B$5*60*Assumptions!$B$3)</f>
        <v>68</v>
      </c>
    </row>
    <row r="208" spans="1:10">
      <c r="A208" s="6">
        <v>46282</v>
      </c>
      <c r="B208" s="7">
        <v>46272.458333333336</v>
      </c>
      <c r="C208">
        <v>286</v>
      </c>
      <c r="D208">
        <v>253</v>
      </c>
      <c r="E208">
        <f t="shared" si="9"/>
        <v>-33</v>
      </c>
      <c r="F208">
        <f t="shared" si="10"/>
        <v>33</v>
      </c>
      <c r="G208" s="8">
        <f t="shared" si="11"/>
        <v>0.86956521739130432</v>
      </c>
      <c r="H208" s="9">
        <f>C208*Assumptions!$B$2/(Assumptions!$B$5*60*Assumptions!$B$3)</f>
        <v>67.294117647058826</v>
      </c>
      <c r="I208">
        <f>ROUNDUP(H208/(1-Assumptions!$B$4),0)</f>
        <v>97</v>
      </c>
      <c r="J208" s="9">
        <f>D208*Assumptions!$B$2/(Assumptions!$B$5*60*Assumptions!$B$3)</f>
        <v>59.529411764705884</v>
      </c>
    </row>
    <row r="209" spans="1:10">
      <c r="A209" s="6">
        <v>46282</v>
      </c>
      <c r="B209" s="7">
        <v>46272.479166666664</v>
      </c>
      <c r="C209">
        <v>249</v>
      </c>
      <c r="D209">
        <v>237</v>
      </c>
      <c r="E209">
        <f t="shared" si="9"/>
        <v>-12</v>
      </c>
      <c r="F209">
        <f t="shared" si="10"/>
        <v>12</v>
      </c>
      <c r="G209" s="8">
        <f t="shared" si="11"/>
        <v>0.94936708860759489</v>
      </c>
      <c r="H209" s="9">
        <f>C209*Assumptions!$B$2/(Assumptions!$B$5*60*Assumptions!$B$3)</f>
        <v>58.588235294117645</v>
      </c>
      <c r="I209">
        <f>ROUNDUP(H209/(1-Assumptions!$B$4),0)</f>
        <v>84</v>
      </c>
      <c r="J209" s="9">
        <f>D209*Assumptions!$B$2/(Assumptions!$B$5*60*Assumptions!$B$3)</f>
        <v>55.764705882352942</v>
      </c>
    </row>
    <row r="210" spans="1:10">
      <c r="A210" s="6">
        <v>46282</v>
      </c>
      <c r="B210" s="7">
        <v>46272.5</v>
      </c>
      <c r="C210">
        <v>234</v>
      </c>
      <c r="D210">
        <v>244</v>
      </c>
      <c r="E210">
        <f t="shared" si="9"/>
        <v>10</v>
      </c>
      <c r="F210">
        <f t="shared" si="10"/>
        <v>10</v>
      </c>
      <c r="G210" s="8">
        <f t="shared" si="11"/>
        <v>0.95901639344262291</v>
      </c>
      <c r="H210" s="9">
        <f>C210*Assumptions!$B$2/(Assumptions!$B$5*60*Assumptions!$B$3)</f>
        <v>55.058823529411768</v>
      </c>
      <c r="I210">
        <f>ROUNDUP(H210/(1-Assumptions!$B$4),0)</f>
        <v>79</v>
      </c>
      <c r="J210" s="9">
        <f>D210*Assumptions!$B$2/(Assumptions!$B$5*60*Assumptions!$B$3)</f>
        <v>57.411764705882355</v>
      </c>
    </row>
    <row r="211" spans="1:10">
      <c r="A211" s="6">
        <v>46282</v>
      </c>
      <c r="B211" s="7">
        <v>46272.520833333336</v>
      </c>
      <c r="C211">
        <v>209</v>
      </c>
      <c r="D211">
        <v>201</v>
      </c>
      <c r="E211">
        <f t="shared" si="9"/>
        <v>-8</v>
      </c>
      <c r="F211">
        <f t="shared" si="10"/>
        <v>8</v>
      </c>
      <c r="G211" s="8">
        <f t="shared" si="11"/>
        <v>0.96019900497512434</v>
      </c>
      <c r="H211" s="9">
        <f>C211*Assumptions!$B$2/(Assumptions!$B$5*60*Assumptions!$B$3)</f>
        <v>49.176470588235297</v>
      </c>
      <c r="I211">
        <f>ROUNDUP(H211/(1-Assumptions!$B$4),0)</f>
        <v>71</v>
      </c>
      <c r="J211" s="9">
        <f>D211*Assumptions!$B$2/(Assumptions!$B$5*60*Assumptions!$B$3)</f>
        <v>47.294117647058826</v>
      </c>
    </row>
    <row r="212" spans="1:10">
      <c r="A212" s="6">
        <v>46282</v>
      </c>
      <c r="B212" s="7">
        <v>46272.541666666664</v>
      </c>
      <c r="C212">
        <v>198</v>
      </c>
      <c r="D212">
        <v>175</v>
      </c>
      <c r="E212">
        <f t="shared" si="9"/>
        <v>-23</v>
      </c>
      <c r="F212">
        <f t="shared" si="10"/>
        <v>23</v>
      </c>
      <c r="G212" s="8">
        <f t="shared" si="11"/>
        <v>0.86857142857142855</v>
      </c>
      <c r="H212" s="9">
        <f>C212*Assumptions!$B$2/(Assumptions!$B$5*60*Assumptions!$B$3)</f>
        <v>46.588235294117645</v>
      </c>
      <c r="I212">
        <f>ROUNDUP(H212/(1-Assumptions!$B$4),0)</f>
        <v>67</v>
      </c>
      <c r="J212" s="9">
        <f>D212*Assumptions!$B$2/(Assumptions!$B$5*60*Assumptions!$B$3)</f>
        <v>41.176470588235297</v>
      </c>
    </row>
    <row r="213" spans="1:10">
      <c r="A213" s="6">
        <v>46282</v>
      </c>
      <c r="B213" s="7">
        <v>46272.5625</v>
      </c>
      <c r="C213">
        <v>185</v>
      </c>
      <c r="D213">
        <v>171</v>
      </c>
      <c r="E213">
        <f t="shared" si="9"/>
        <v>-14</v>
      </c>
      <c r="F213">
        <f t="shared" si="10"/>
        <v>14</v>
      </c>
      <c r="G213" s="8">
        <f t="shared" si="11"/>
        <v>0.91812865497076024</v>
      </c>
      <c r="H213" s="9">
        <f>C213*Assumptions!$B$2/(Assumptions!$B$5*60*Assumptions!$B$3)</f>
        <v>43.529411764705884</v>
      </c>
      <c r="I213">
        <f>ROUNDUP(H213/(1-Assumptions!$B$4),0)</f>
        <v>63</v>
      </c>
      <c r="J213" s="9">
        <f>D213*Assumptions!$B$2/(Assumptions!$B$5*60*Assumptions!$B$3)</f>
        <v>40.235294117647058</v>
      </c>
    </row>
    <row r="214" spans="1:10">
      <c r="A214" s="6">
        <v>46282</v>
      </c>
      <c r="B214" s="7">
        <v>46272.583333333336</v>
      </c>
      <c r="C214">
        <v>199</v>
      </c>
      <c r="D214">
        <v>189</v>
      </c>
      <c r="E214">
        <f t="shared" si="9"/>
        <v>-10</v>
      </c>
      <c r="F214">
        <f t="shared" si="10"/>
        <v>10</v>
      </c>
      <c r="G214" s="8">
        <f t="shared" si="11"/>
        <v>0.94708994708994709</v>
      </c>
      <c r="H214" s="9">
        <f>C214*Assumptions!$B$2/(Assumptions!$B$5*60*Assumptions!$B$3)</f>
        <v>46.823529411764703</v>
      </c>
      <c r="I214">
        <f>ROUNDUP(H214/(1-Assumptions!$B$4),0)</f>
        <v>67</v>
      </c>
      <c r="J214" s="9">
        <f>D214*Assumptions!$B$2/(Assumptions!$B$5*60*Assumptions!$B$3)</f>
        <v>44.470588235294116</v>
      </c>
    </row>
    <row r="215" spans="1:10">
      <c r="A215" s="6">
        <v>46282</v>
      </c>
      <c r="B215" s="7">
        <v>46272.604166666664</v>
      </c>
      <c r="C215">
        <v>210</v>
      </c>
      <c r="D215">
        <v>234</v>
      </c>
      <c r="E215">
        <f t="shared" si="9"/>
        <v>24</v>
      </c>
      <c r="F215">
        <f t="shared" si="10"/>
        <v>24</v>
      </c>
      <c r="G215" s="8">
        <f t="shared" si="11"/>
        <v>0.89743589743589747</v>
      </c>
      <c r="H215" s="9">
        <f>C215*Assumptions!$B$2/(Assumptions!$B$5*60*Assumptions!$B$3)</f>
        <v>49.411764705882355</v>
      </c>
      <c r="I215">
        <f>ROUNDUP(H215/(1-Assumptions!$B$4),0)</f>
        <v>71</v>
      </c>
      <c r="J215" s="9">
        <f>D215*Assumptions!$B$2/(Assumptions!$B$5*60*Assumptions!$B$3)</f>
        <v>55.058823529411768</v>
      </c>
    </row>
    <row r="216" spans="1:10">
      <c r="A216" s="6">
        <v>46282</v>
      </c>
      <c r="B216" s="7">
        <v>46272.625</v>
      </c>
      <c r="C216">
        <v>191</v>
      </c>
      <c r="D216">
        <v>178</v>
      </c>
      <c r="E216">
        <f t="shared" si="9"/>
        <v>-13</v>
      </c>
      <c r="F216">
        <f t="shared" si="10"/>
        <v>13</v>
      </c>
      <c r="G216" s="8">
        <f t="shared" si="11"/>
        <v>0.9269662921348315</v>
      </c>
      <c r="H216" s="9">
        <f>C216*Assumptions!$B$2/(Assumptions!$B$5*60*Assumptions!$B$3)</f>
        <v>44.941176470588232</v>
      </c>
      <c r="I216">
        <f>ROUNDUP(H216/(1-Assumptions!$B$4),0)</f>
        <v>65</v>
      </c>
      <c r="J216" s="9">
        <f>D216*Assumptions!$B$2/(Assumptions!$B$5*60*Assumptions!$B$3)</f>
        <v>41.882352941176471</v>
      </c>
    </row>
    <row r="217" spans="1:10">
      <c r="A217" s="6">
        <v>46282</v>
      </c>
      <c r="B217" s="7">
        <v>46272.645833333336</v>
      </c>
      <c r="C217">
        <v>173</v>
      </c>
      <c r="D217">
        <v>175</v>
      </c>
      <c r="E217">
        <f t="shared" si="9"/>
        <v>2</v>
      </c>
      <c r="F217">
        <f t="shared" si="10"/>
        <v>2</v>
      </c>
      <c r="G217" s="8">
        <f t="shared" si="11"/>
        <v>0.98857142857142855</v>
      </c>
      <c r="H217" s="9">
        <f>C217*Assumptions!$B$2/(Assumptions!$B$5*60*Assumptions!$B$3)</f>
        <v>40.705882352941174</v>
      </c>
      <c r="I217">
        <f>ROUNDUP(H217/(1-Assumptions!$B$4),0)</f>
        <v>59</v>
      </c>
      <c r="J217" s="9">
        <f>D217*Assumptions!$B$2/(Assumptions!$B$5*60*Assumptions!$B$3)</f>
        <v>41.176470588235297</v>
      </c>
    </row>
    <row r="218" spans="1:10">
      <c r="A218" s="6">
        <v>46282</v>
      </c>
      <c r="B218" s="7">
        <v>46272.666666666664</v>
      </c>
      <c r="C218">
        <v>151</v>
      </c>
      <c r="D218">
        <v>157</v>
      </c>
      <c r="E218">
        <f t="shared" si="9"/>
        <v>6</v>
      </c>
      <c r="F218">
        <f t="shared" si="10"/>
        <v>6</v>
      </c>
      <c r="G218" s="8">
        <f t="shared" si="11"/>
        <v>0.96178343949044587</v>
      </c>
      <c r="H218" s="9">
        <f>C218*Assumptions!$B$2/(Assumptions!$B$5*60*Assumptions!$B$3)</f>
        <v>35.529411764705884</v>
      </c>
      <c r="I218">
        <f>ROUNDUP(H218/(1-Assumptions!$B$4),0)</f>
        <v>51</v>
      </c>
      <c r="J218" s="9">
        <f>D218*Assumptions!$B$2/(Assumptions!$B$5*60*Assumptions!$B$3)</f>
        <v>36.941176470588232</v>
      </c>
    </row>
    <row r="219" spans="1:10">
      <c r="A219" s="6">
        <v>46282</v>
      </c>
      <c r="B219" s="7">
        <v>46272.6875</v>
      </c>
      <c r="C219">
        <v>143</v>
      </c>
      <c r="D219">
        <v>149</v>
      </c>
      <c r="E219">
        <f t="shared" si="9"/>
        <v>6</v>
      </c>
      <c r="F219">
        <f t="shared" si="10"/>
        <v>6</v>
      </c>
      <c r="G219" s="8">
        <f t="shared" si="11"/>
        <v>0.95973154362416113</v>
      </c>
      <c r="H219" s="9">
        <f>C219*Assumptions!$B$2/(Assumptions!$B$5*60*Assumptions!$B$3)</f>
        <v>33.647058823529413</v>
      </c>
      <c r="I219">
        <f>ROUNDUP(H219/(1-Assumptions!$B$4),0)</f>
        <v>49</v>
      </c>
      <c r="J219" s="9">
        <f>D219*Assumptions!$B$2/(Assumptions!$B$5*60*Assumptions!$B$3)</f>
        <v>35.058823529411768</v>
      </c>
    </row>
    <row r="220" spans="1:10">
      <c r="A220" s="6">
        <v>46282</v>
      </c>
      <c r="B220" s="7">
        <v>46272.708333333336</v>
      </c>
      <c r="C220">
        <v>133</v>
      </c>
      <c r="D220">
        <v>135</v>
      </c>
      <c r="E220">
        <f t="shared" si="9"/>
        <v>2</v>
      </c>
      <c r="F220">
        <f t="shared" si="10"/>
        <v>2</v>
      </c>
      <c r="G220" s="8">
        <f t="shared" si="11"/>
        <v>0.98518518518518516</v>
      </c>
      <c r="H220" s="9">
        <f>C220*Assumptions!$B$2/(Assumptions!$B$5*60*Assumptions!$B$3)</f>
        <v>31.294117647058822</v>
      </c>
      <c r="I220">
        <f>ROUNDUP(H220/(1-Assumptions!$B$4),0)</f>
        <v>45</v>
      </c>
      <c r="J220" s="9">
        <f>D220*Assumptions!$B$2/(Assumptions!$B$5*60*Assumptions!$B$3)</f>
        <v>31.764705882352942</v>
      </c>
    </row>
    <row r="221" spans="1:10">
      <c r="A221" s="6">
        <v>46282</v>
      </c>
      <c r="B221" s="7">
        <v>46272.729166666664</v>
      </c>
      <c r="C221">
        <v>126</v>
      </c>
      <c r="D221">
        <v>133</v>
      </c>
      <c r="E221">
        <f t="shared" si="9"/>
        <v>7</v>
      </c>
      <c r="F221">
        <f t="shared" si="10"/>
        <v>7</v>
      </c>
      <c r="G221" s="8">
        <f t="shared" si="11"/>
        <v>0.94736842105263164</v>
      </c>
      <c r="H221" s="9">
        <f>C221*Assumptions!$B$2/(Assumptions!$B$5*60*Assumptions!$B$3)</f>
        <v>29.647058823529413</v>
      </c>
      <c r="I221">
        <f>ROUNDUP(H221/(1-Assumptions!$B$4),0)</f>
        <v>43</v>
      </c>
      <c r="J221" s="9">
        <f>D221*Assumptions!$B$2/(Assumptions!$B$5*60*Assumptions!$B$3)</f>
        <v>31.294117647058822</v>
      </c>
    </row>
    <row r="222" spans="1:10">
      <c r="A222" s="6">
        <v>46283</v>
      </c>
      <c r="B222" s="7">
        <v>46272.333333333336</v>
      </c>
      <c r="C222">
        <v>80</v>
      </c>
      <c r="D222">
        <v>75</v>
      </c>
      <c r="E222">
        <f t="shared" si="9"/>
        <v>-5</v>
      </c>
      <c r="F222">
        <f t="shared" si="10"/>
        <v>5</v>
      </c>
      <c r="G222" s="8">
        <f t="shared" si="11"/>
        <v>0.93333333333333335</v>
      </c>
      <c r="H222" s="9">
        <f>C222*Assumptions!$B$2/(Assumptions!$B$5*60*Assumptions!$B$3)</f>
        <v>18.823529411764707</v>
      </c>
      <c r="I222">
        <f>ROUNDUP(H222/(1-Assumptions!$B$4),0)</f>
        <v>27</v>
      </c>
      <c r="J222" s="9">
        <f>D222*Assumptions!$B$2/(Assumptions!$B$5*60*Assumptions!$B$3)</f>
        <v>17.647058823529413</v>
      </c>
    </row>
    <row r="223" spans="1:10">
      <c r="A223" s="6">
        <v>46283</v>
      </c>
      <c r="B223" s="7">
        <v>46272.354166666664</v>
      </c>
      <c r="C223">
        <v>116</v>
      </c>
      <c r="D223">
        <v>110</v>
      </c>
      <c r="E223">
        <f t="shared" si="9"/>
        <v>-6</v>
      </c>
      <c r="F223">
        <f t="shared" si="10"/>
        <v>6</v>
      </c>
      <c r="G223" s="8">
        <f t="shared" si="11"/>
        <v>0.94545454545454544</v>
      </c>
      <c r="H223" s="9">
        <f>C223*Assumptions!$B$2/(Assumptions!$B$5*60*Assumptions!$B$3)</f>
        <v>27.294117647058822</v>
      </c>
      <c r="I223">
        <f>ROUNDUP(H223/(1-Assumptions!$B$4),0)</f>
        <v>39</v>
      </c>
      <c r="J223" s="9">
        <f>D223*Assumptions!$B$2/(Assumptions!$B$5*60*Assumptions!$B$3)</f>
        <v>25.882352941176471</v>
      </c>
    </row>
    <row r="224" spans="1:10">
      <c r="A224" s="6">
        <v>46283</v>
      </c>
      <c r="B224" s="7">
        <v>46272.375</v>
      </c>
      <c r="C224">
        <v>151</v>
      </c>
      <c r="D224">
        <v>167</v>
      </c>
      <c r="E224">
        <f t="shared" si="9"/>
        <v>16</v>
      </c>
      <c r="F224">
        <f t="shared" si="10"/>
        <v>16</v>
      </c>
      <c r="G224" s="8">
        <f t="shared" si="11"/>
        <v>0.90419161676646709</v>
      </c>
      <c r="H224" s="9">
        <f>C224*Assumptions!$B$2/(Assumptions!$B$5*60*Assumptions!$B$3)</f>
        <v>35.529411764705884</v>
      </c>
      <c r="I224">
        <f>ROUNDUP(H224/(1-Assumptions!$B$4),0)</f>
        <v>51</v>
      </c>
      <c r="J224" s="9">
        <f>D224*Assumptions!$B$2/(Assumptions!$B$5*60*Assumptions!$B$3)</f>
        <v>39.294117647058826</v>
      </c>
    </row>
    <row r="225" spans="1:10">
      <c r="A225" s="6">
        <v>46283</v>
      </c>
      <c r="B225" s="7">
        <v>46272.395833333336</v>
      </c>
      <c r="C225">
        <v>179</v>
      </c>
      <c r="D225">
        <v>164</v>
      </c>
      <c r="E225">
        <f t="shared" si="9"/>
        <v>-15</v>
      </c>
      <c r="F225">
        <f t="shared" si="10"/>
        <v>15</v>
      </c>
      <c r="G225" s="8">
        <f t="shared" si="11"/>
        <v>0.90853658536585369</v>
      </c>
      <c r="H225" s="9">
        <f>C225*Assumptions!$B$2/(Assumptions!$B$5*60*Assumptions!$B$3)</f>
        <v>42.117647058823529</v>
      </c>
      <c r="I225">
        <f>ROUNDUP(H225/(1-Assumptions!$B$4),0)</f>
        <v>61</v>
      </c>
      <c r="J225" s="9">
        <f>D225*Assumptions!$B$2/(Assumptions!$B$5*60*Assumptions!$B$3)</f>
        <v>38.588235294117645</v>
      </c>
    </row>
    <row r="226" spans="1:10">
      <c r="A226" s="6">
        <v>46283</v>
      </c>
      <c r="B226" s="7">
        <v>46272.416666666664</v>
      </c>
      <c r="C226">
        <v>212</v>
      </c>
      <c r="D226">
        <v>214</v>
      </c>
      <c r="E226">
        <f t="shared" si="9"/>
        <v>2</v>
      </c>
      <c r="F226">
        <f t="shared" si="10"/>
        <v>2</v>
      </c>
      <c r="G226" s="8">
        <f t="shared" si="11"/>
        <v>0.99065420560747663</v>
      </c>
      <c r="H226" s="9">
        <f>C226*Assumptions!$B$2/(Assumptions!$B$5*60*Assumptions!$B$3)</f>
        <v>49.882352941176471</v>
      </c>
      <c r="I226">
        <f>ROUNDUP(H226/(1-Assumptions!$B$4),0)</f>
        <v>72</v>
      </c>
      <c r="J226" s="9">
        <f>D226*Assumptions!$B$2/(Assumptions!$B$5*60*Assumptions!$B$3)</f>
        <v>50.352941176470587</v>
      </c>
    </row>
    <row r="227" spans="1:10">
      <c r="A227" s="6">
        <v>46283</v>
      </c>
      <c r="B227" s="7">
        <v>46272.4375</v>
      </c>
      <c r="C227">
        <v>231</v>
      </c>
      <c r="D227">
        <v>206</v>
      </c>
      <c r="E227">
        <f t="shared" si="9"/>
        <v>-25</v>
      </c>
      <c r="F227">
        <f t="shared" si="10"/>
        <v>25</v>
      </c>
      <c r="G227" s="8">
        <f t="shared" si="11"/>
        <v>0.87864077669902918</v>
      </c>
      <c r="H227" s="9">
        <f>C227*Assumptions!$B$2/(Assumptions!$B$5*60*Assumptions!$B$3)</f>
        <v>54.352941176470587</v>
      </c>
      <c r="I227">
        <f>ROUNDUP(H227/(1-Assumptions!$B$4),0)</f>
        <v>78</v>
      </c>
      <c r="J227" s="9">
        <f>D227*Assumptions!$B$2/(Assumptions!$B$5*60*Assumptions!$B$3)</f>
        <v>48.470588235294116</v>
      </c>
    </row>
    <row r="228" spans="1:10">
      <c r="A228" s="6">
        <v>46283</v>
      </c>
      <c r="B228" s="7">
        <v>46272.458333333336</v>
      </c>
      <c r="C228">
        <v>257</v>
      </c>
      <c r="D228">
        <v>254</v>
      </c>
      <c r="E228">
        <f t="shared" si="9"/>
        <v>-3</v>
      </c>
      <c r="F228">
        <f t="shared" si="10"/>
        <v>3</v>
      </c>
      <c r="G228" s="8">
        <f t="shared" si="11"/>
        <v>0.98818897637795278</v>
      </c>
      <c r="H228" s="9">
        <f>C228*Assumptions!$B$2/(Assumptions!$B$5*60*Assumptions!$B$3)</f>
        <v>60.470588235294116</v>
      </c>
      <c r="I228">
        <f>ROUNDUP(H228/(1-Assumptions!$B$4),0)</f>
        <v>87</v>
      </c>
      <c r="J228" s="9">
        <f>D228*Assumptions!$B$2/(Assumptions!$B$5*60*Assumptions!$B$3)</f>
        <v>59.764705882352942</v>
      </c>
    </row>
    <row r="229" spans="1:10">
      <c r="A229" s="6">
        <v>46283</v>
      </c>
      <c r="B229" s="7">
        <v>46272.479166666664</v>
      </c>
      <c r="C229">
        <v>234</v>
      </c>
      <c r="D229">
        <v>249</v>
      </c>
      <c r="E229">
        <f t="shared" si="9"/>
        <v>15</v>
      </c>
      <c r="F229">
        <f t="shared" si="10"/>
        <v>15</v>
      </c>
      <c r="G229" s="8">
        <f t="shared" si="11"/>
        <v>0.93975903614457834</v>
      </c>
      <c r="H229" s="9">
        <f>C229*Assumptions!$B$2/(Assumptions!$B$5*60*Assumptions!$B$3)</f>
        <v>55.058823529411768</v>
      </c>
      <c r="I229">
        <f>ROUNDUP(H229/(1-Assumptions!$B$4),0)</f>
        <v>79</v>
      </c>
      <c r="J229" s="9">
        <f>D229*Assumptions!$B$2/(Assumptions!$B$5*60*Assumptions!$B$3)</f>
        <v>58.588235294117645</v>
      </c>
    </row>
    <row r="230" spans="1:10">
      <c r="A230" s="6">
        <v>46283</v>
      </c>
      <c r="B230" s="7">
        <v>46272.5</v>
      </c>
      <c r="C230">
        <v>229</v>
      </c>
      <c r="D230">
        <v>216</v>
      </c>
      <c r="E230">
        <f t="shared" si="9"/>
        <v>-13</v>
      </c>
      <c r="F230">
        <f t="shared" si="10"/>
        <v>13</v>
      </c>
      <c r="G230" s="8">
        <f t="shared" si="11"/>
        <v>0.93981481481481477</v>
      </c>
      <c r="H230" s="9">
        <f>C230*Assumptions!$B$2/(Assumptions!$B$5*60*Assumptions!$B$3)</f>
        <v>53.882352941176471</v>
      </c>
      <c r="I230">
        <f>ROUNDUP(H230/(1-Assumptions!$B$4),0)</f>
        <v>77</v>
      </c>
      <c r="J230" s="9">
        <f>D230*Assumptions!$B$2/(Assumptions!$B$5*60*Assumptions!$B$3)</f>
        <v>50.823529411764703</v>
      </c>
    </row>
    <row r="231" spans="1:10">
      <c r="A231" s="6">
        <v>46283</v>
      </c>
      <c r="B231" s="7">
        <v>46272.520833333336</v>
      </c>
      <c r="C231">
        <v>198</v>
      </c>
      <c r="D231">
        <v>202</v>
      </c>
      <c r="E231">
        <f t="shared" si="9"/>
        <v>4</v>
      </c>
      <c r="F231">
        <f t="shared" si="10"/>
        <v>4</v>
      </c>
      <c r="G231" s="8">
        <f t="shared" si="11"/>
        <v>0.98019801980198018</v>
      </c>
      <c r="H231" s="9">
        <f>C231*Assumptions!$B$2/(Assumptions!$B$5*60*Assumptions!$B$3)</f>
        <v>46.588235294117645</v>
      </c>
      <c r="I231">
        <f>ROUNDUP(H231/(1-Assumptions!$B$4),0)</f>
        <v>67</v>
      </c>
      <c r="J231" s="9">
        <f>D231*Assumptions!$B$2/(Assumptions!$B$5*60*Assumptions!$B$3)</f>
        <v>47.529411764705884</v>
      </c>
    </row>
    <row r="232" spans="1:10">
      <c r="A232" s="6">
        <v>46283</v>
      </c>
      <c r="B232" s="7">
        <v>46272.541666666664</v>
      </c>
      <c r="C232">
        <v>175</v>
      </c>
      <c r="D232">
        <v>181</v>
      </c>
      <c r="E232">
        <f t="shared" si="9"/>
        <v>6</v>
      </c>
      <c r="F232">
        <f t="shared" si="10"/>
        <v>6</v>
      </c>
      <c r="G232" s="8">
        <f t="shared" si="11"/>
        <v>0.96685082872928174</v>
      </c>
      <c r="H232" s="9">
        <f>C232*Assumptions!$B$2/(Assumptions!$B$5*60*Assumptions!$B$3)</f>
        <v>41.176470588235297</v>
      </c>
      <c r="I232">
        <f>ROUNDUP(H232/(1-Assumptions!$B$4),0)</f>
        <v>59</v>
      </c>
      <c r="J232" s="9">
        <f>D232*Assumptions!$B$2/(Assumptions!$B$5*60*Assumptions!$B$3)</f>
        <v>42.588235294117645</v>
      </c>
    </row>
    <row r="233" spans="1:10">
      <c r="A233" s="6">
        <v>46283</v>
      </c>
      <c r="B233" s="7">
        <v>46272.5625</v>
      </c>
      <c r="C233">
        <v>172</v>
      </c>
      <c r="D233">
        <v>153</v>
      </c>
      <c r="E233">
        <f t="shared" si="9"/>
        <v>-19</v>
      </c>
      <c r="F233">
        <f t="shared" si="10"/>
        <v>19</v>
      </c>
      <c r="G233" s="8">
        <f t="shared" si="11"/>
        <v>0.87581699346405228</v>
      </c>
      <c r="H233" s="9">
        <f>C233*Assumptions!$B$2/(Assumptions!$B$5*60*Assumptions!$B$3)</f>
        <v>40.470588235294116</v>
      </c>
      <c r="I233">
        <f>ROUNDUP(H233/(1-Assumptions!$B$4),0)</f>
        <v>58</v>
      </c>
      <c r="J233" s="9">
        <f>D233*Assumptions!$B$2/(Assumptions!$B$5*60*Assumptions!$B$3)</f>
        <v>36</v>
      </c>
    </row>
    <row r="234" spans="1:10">
      <c r="A234" s="6">
        <v>46283</v>
      </c>
      <c r="B234" s="7">
        <v>46272.583333333336</v>
      </c>
      <c r="C234">
        <v>197</v>
      </c>
      <c r="D234">
        <v>198</v>
      </c>
      <c r="E234">
        <f t="shared" si="9"/>
        <v>1</v>
      </c>
      <c r="F234">
        <f t="shared" si="10"/>
        <v>1</v>
      </c>
      <c r="G234" s="8">
        <f t="shared" si="11"/>
        <v>0.99494949494949492</v>
      </c>
      <c r="H234" s="9">
        <f>C234*Assumptions!$B$2/(Assumptions!$B$5*60*Assumptions!$B$3)</f>
        <v>46.352941176470587</v>
      </c>
      <c r="I234">
        <f>ROUNDUP(H234/(1-Assumptions!$B$4),0)</f>
        <v>67</v>
      </c>
      <c r="J234" s="9">
        <f>D234*Assumptions!$B$2/(Assumptions!$B$5*60*Assumptions!$B$3)</f>
        <v>46.588235294117645</v>
      </c>
    </row>
    <row r="235" spans="1:10">
      <c r="A235" s="6">
        <v>46283</v>
      </c>
      <c r="B235" s="7">
        <v>46272.604166666664</v>
      </c>
      <c r="C235">
        <v>191</v>
      </c>
      <c r="D235">
        <v>188</v>
      </c>
      <c r="E235">
        <f t="shared" si="9"/>
        <v>-3</v>
      </c>
      <c r="F235">
        <f t="shared" si="10"/>
        <v>3</v>
      </c>
      <c r="G235" s="8">
        <f t="shared" si="11"/>
        <v>0.98404255319148937</v>
      </c>
      <c r="H235" s="9">
        <f>C235*Assumptions!$B$2/(Assumptions!$B$5*60*Assumptions!$B$3)</f>
        <v>44.941176470588232</v>
      </c>
      <c r="I235">
        <f>ROUNDUP(H235/(1-Assumptions!$B$4),0)</f>
        <v>65</v>
      </c>
      <c r="J235" s="9">
        <f>D235*Assumptions!$B$2/(Assumptions!$B$5*60*Assumptions!$B$3)</f>
        <v>44.235294117647058</v>
      </c>
    </row>
    <row r="236" spans="1:10">
      <c r="A236" s="6">
        <v>46283</v>
      </c>
      <c r="B236" s="7">
        <v>46272.625</v>
      </c>
      <c r="C236">
        <v>180</v>
      </c>
      <c r="D236">
        <v>164</v>
      </c>
      <c r="E236">
        <f t="shared" si="9"/>
        <v>-16</v>
      </c>
      <c r="F236">
        <f t="shared" si="10"/>
        <v>16</v>
      </c>
      <c r="G236" s="8">
        <f t="shared" si="11"/>
        <v>0.90243902439024393</v>
      </c>
      <c r="H236" s="9">
        <f>C236*Assumptions!$B$2/(Assumptions!$B$5*60*Assumptions!$B$3)</f>
        <v>42.352941176470587</v>
      </c>
      <c r="I236">
        <f>ROUNDUP(H236/(1-Assumptions!$B$4),0)</f>
        <v>61</v>
      </c>
      <c r="J236" s="9">
        <f>D236*Assumptions!$B$2/(Assumptions!$B$5*60*Assumptions!$B$3)</f>
        <v>38.588235294117645</v>
      </c>
    </row>
    <row r="237" spans="1:10">
      <c r="A237" s="6">
        <v>46283</v>
      </c>
      <c r="B237" s="7">
        <v>46272.645833333336</v>
      </c>
      <c r="C237">
        <v>163</v>
      </c>
      <c r="D237">
        <v>149</v>
      </c>
      <c r="E237">
        <f t="shared" si="9"/>
        <v>-14</v>
      </c>
      <c r="F237">
        <f t="shared" si="10"/>
        <v>14</v>
      </c>
      <c r="G237" s="8">
        <f t="shared" si="11"/>
        <v>0.90604026845637586</v>
      </c>
      <c r="H237" s="9">
        <f>C237*Assumptions!$B$2/(Assumptions!$B$5*60*Assumptions!$B$3)</f>
        <v>38.352941176470587</v>
      </c>
      <c r="I237">
        <f>ROUNDUP(H237/(1-Assumptions!$B$4),0)</f>
        <v>55</v>
      </c>
      <c r="J237" s="9">
        <f>D237*Assumptions!$B$2/(Assumptions!$B$5*60*Assumptions!$B$3)</f>
        <v>35.058823529411768</v>
      </c>
    </row>
    <row r="238" spans="1:10">
      <c r="A238" s="6">
        <v>46283</v>
      </c>
      <c r="B238" s="7">
        <v>46272.666666666664</v>
      </c>
      <c r="C238">
        <v>151</v>
      </c>
      <c r="D238">
        <v>143</v>
      </c>
      <c r="E238">
        <f t="shared" si="9"/>
        <v>-8</v>
      </c>
      <c r="F238">
        <f t="shared" si="10"/>
        <v>8</v>
      </c>
      <c r="G238" s="8">
        <f t="shared" si="11"/>
        <v>0.94405594405594406</v>
      </c>
      <c r="H238" s="9">
        <f>C238*Assumptions!$B$2/(Assumptions!$B$5*60*Assumptions!$B$3)</f>
        <v>35.529411764705884</v>
      </c>
      <c r="I238">
        <f>ROUNDUP(H238/(1-Assumptions!$B$4),0)</f>
        <v>51</v>
      </c>
      <c r="J238" s="9">
        <f>D238*Assumptions!$B$2/(Assumptions!$B$5*60*Assumptions!$B$3)</f>
        <v>33.647058823529413</v>
      </c>
    </row>
    <row r="239" spans="1:10">
      <c r="A239" s="6">
        <v>46283</v>
      </c>
      <c r="B239" s="7">
        <v>46272.6875</v>
      </c>
      <c r="C239">
        <v>130</v>
      </c>
      <c r="D239">
        <v>134</v>
      </c>
      <c r="E239">
        <f t="shared" si="9"/>
        <v>4</v>
      </c>
      <c r="F239">
        <f t="shared" si="10"/>
        <v>4</v>
      </c>
      <c r="G239" s="8">
        <f t="shared" si="11"/>
        <v>0.97014925373134331</v>
      </c>
      <c r="H239" s="9">
        <f>C239*Assumptions!$B$2/(Assumptions!$B$5*60*Assumptions!$B$3)</f>
        <v>30.588235294117649</v>
      </c>
      <c r="I239">
        <f>ROUNDUP(H239/(1-Assumptions!$B$4),0)</f>
        <v>44</v>
      </c>
      <c r="J239" s="9">
        <f>D239*Assumptions!$B$2/(Assumptions!$B$5*60*Assumptions!$B$3)</f>
        <v>31.529411764705884</v>
      </c>
    </row>
    <row r="240" spans="1:10">
      <c r="A240" s="6">
        <v>46283</v>
      </c>
      <c r="B240" s="7">
        <v>46272.708333333336</v>
      </c>
      <c r="C240">
        <v>124</v>
      </c>
      <c r="D240">
        <v>113</v>
      </c>
      <c r="E240">
        <f t="shared" si="9"/>
        <v>-11</v>
      </c>
      <c r="F240">
        <f t="shared" si="10"/>
        <v>11</v>
      </c>
      <c r="G240" s="8">
        <f t="shared" si="11"/>
        <v>0.90265486725663713</v>
      </c>
      <c r="H240" s="9">
        <f>C240*Assumptions!$B$2/(Assumptions!$B$5*60*Assumptions!$B$3)</f>
        <v>29.176470588235293</v>
      </c>
      <c r="I240">
        <f>ROUNDUP(H240/(1-Assumptions!$B$4),0)</f>
        <v>42</v>
      </c>
      <c r="J240" s="9">
        <f>D240*Assumptions!$B$2/(Assumptions!$B$5*60*Assumptions!$B$3)</f>
        <v>26.588235294117649</v>
      </c>
    </row>
    <row r="241" spans="1:10">
      <c r="A241" s="6">
        <v>46283</v>
      </c>
      <c r="B241" s="7">
        <v>46272.729166666664</v>
      </c>
      <c r="C241">
        <v>117</v>
      </c>
      <c r="D241">
        <v>130</v>
      </c>
      <c r="E241">
        <f t="shared" si="9"/>
        <v>13</v>
      </c>
      <c r="F241">
        <f t="shared" si="10"/>
        <v>13</v>
      </c>
      <c r="G241" s="8">
        <f t="shared" si="11"/>
        <v>0.9</v>
      </c>
      <c r="H241" s="9">
        <f>C241*Assumptions!$B$2/(Assumptions!$B$5*60*Assumptions!$B$3)</f>
        <v>27.529411764705884</v>
      </c>
      <c r="I241">
        <f>ROUNDUP(H241/(1-Assumptions!$B$4),0)</f>
        <v>40</v>
      </c>
      <c r="J241" s="9">
        <f>D241*Assumptions!$B$2/(Assumptions!$B$5*60*Assumptions!$B$3)</f>
        <v>30.588235294117649</v>
      </c>
    </row>
    <row r="242" spans="1:10">
      <c r="A242" s="6">
        <v>46284</v>
      </c>
      <c r="B242" s="7">
        <v>46272.333333333336</v>
      </c>
      <c r="C242">
        <v>72</v>
      </c>
      <c r="D242">
        <v>78</v>
      </c>
      <c r="E242">
        <f t="shared" si="9"/>
        <v>6</v>
      </c>
      <c r="F242">
        <f t="shared" si="10"/>
        <v>6</v>
      </c>
      <c r="G242" s="8">
        <f t="shared" si="11"/>
        <v>0.92307692307692313</v>
      </c>
      <c r="H242" s="9">
        <f>C242*Assumptions!$B$2/(Assumptions!$B$5*60*Assumptions!$B$3)</f>
        <v>16.941176470588236</v>
      </c>
      <c r="I242">
        <f>ROUNDUP(H242/(1-Assumptions!$B$4),0)</f>
        <v>25</v>
      </c>
      <c r="J242" s="9">
        <f>D242*Assumptions!$B$2/(Assumptions!$B$5*60*Assumptions!$B$3)</f>
        <v>18.352941176470587</v>
      </c>
    </row>
    <row r="243" spans="1:10">
      <c r="A243" s="6">
        <v>46284</v>
      </c>
      <c r="B243" s="7">
        <v>46272.354166666664</v>
      </c>
      <c r="C243">
        <v>101</v>
      </c>
      <c r="D243">
        <v>97</v>
      </c>
      <c r="E243">
        <f t="shared" si="9"/>
        <v>-4</v>
      </c>
      <c r="F243">
        <f t="shared" si="10"/>
        <v>4</v>
      </c>
      <c r="G243" s="8">
        <f t="shared" si="11"/>
        <v>0.95876288659793818</v>
      </c>
      <c r="H243" s="9">
        <f>C243*Assumptions!$B$2/(Assumptions!$B$5*60*Assumptions!$B$3)</f>
        <v>23.764705882352942</v>
      </c>
      <c r="I243">
        <f>ROUNDUP(H243/(1-Assumptions!$B$4),0)</f>
        <v>34</v>
      </c>
      <c r="J243" s="9">
        <f>D243*Assumptions!$B$2/(Assumptions!$B$5*60*Assumptions!$B$3)</f>
        <v>22.823529411764707</v>
      </c>
    </row>
    <row r="244" spans="1:10">
      <c r="A244" s="6">
        <v>46284</v>
      </c>
      <c r="B244" s="7">
        <v>46272.375</v>
      </c>
      <c r="C244">
        <v>121</v>
      </c>
      <c r="D244">
        <v>112</v>
      </c>
      <c r="E244">
        <f t="shared" si="9"/>
        <v>-9</v>
      </c>
      <c r="F244">
        <f t="shared" si="10"/>
        <v>9</v>
      </c>
      <c r="G244" s="8">
        <f t="shared" si="11"/>
        <v>0.9196428571428571</v>
      </c>
      <c r="H244" s="9">
        <f>C244*Assumptions!$B$2/(Assumptions!$B$5*60*Assumptions!$B$3)</f>
        <v>28.470588235294116</v>
      </c>
      <c r="I244">
        <f>ROUNDUP(H244/(1-Assumptions!$B$4),0)</f>
        <v>41</v>
      </c>
      <c r="J244" s="9">
        <f>D244*Assumptions!$B$2/(Assumptions!$B$5*60*Assumptions!$B$3)</f>
        <v>26.352941176470587</v>
      </c>
    </row>
    <row r="245" spans="1:10">
      <c r="A245" s="6">
        <v>46284</v>
      </c>
      <c r="B245" s="7">
        <v>46272.395833333336</v>
      </c>
      <c r="C245">
        <v>150</v>
      </c>
      <c r="D245">
        <v>137</v>
      </c>
      <c r="E245">
        <f t="shared" si="9"/>
        <v>-13</v>
      </c>
      <c r="F245">
        <f t="shared" si="10"/>
        <v>13</v>
      </c>
      <c r="G245" s="8">
        <f t="shared" si="11"/>
        <v>0.9051094890510949</v>
      </c>
      <c r="H245" s="9">
        <f>C245*Assumptions!$B$2/(Assumptions!$B$5*60*Assumptions!$B$3)</f>
        <v>35.294117647058826</v>
      </c>
      <c r="I245">
        <f>ROUNDUP(H245/(1-Assumptions!$B$4),0)</f>
        <v>51</v>
      </c>
      <c r="J245" s="9">
        <f>D245*Assumptions!$B$2/(Assumptions!$B$5*60*Assumptions!$B$3)</f>
        <v>32.235294117647058</v>
      </c>
    </row>
    <row r="246" spans="1:10">
      <c r="A246" s="6">
        <v>46284</v>
      </c>
      <c r="B246" s="7">
        <v>46272.416666666664</v>
      </c>
      <c r="C246">
        <v>178</v>
      </c>
      <c r="D246">
        <v>188</v>
      </c>
      <c r="E246">
        <f t="shared" si="9"/>
        <v>10</v>
      </c>
      <c r="F246">
        <f t="shared" si="10"/>
        <v>10</v>
      </c>
      <c r="G246" s="8">
        <f t="shared" si="11"/>
        <v>0.94680851063829785</v>
      </c>
      <c r="H246" s="9">
        <f>C246*Assumptions!$B$2/(Assumptions!$B$5*60*Assumptions!$B$3)</f>
        <v>41.882352941176471</v>
      </c>
      <c r="I246">
        <f>ROUNDUP(H246/(1-Assumptions!$B$4),0)</f>
        <v>60</v>
      </c>
      <c r="J246" s="9">
        <f>D246*Assumptions!$B$2/(Assumptions!$B$5*60*Assumptions!$B$3)</f>
        <v>44.235294117647058</v>
      </c>
    </row>
    <row r="247" spans="1:10">
      <c r="A247" s="6">
        <v>46284</v>
      </c>
      <c r="B247" s="7">
        <v>46272.4375</v>
      </c>
      <c r="C247">
        <v>208</v>
      </c>
      <c r="D247">
        <v>186</v>
      </c>
      <c r="E247">
        <f t="shared" si="9"/>
        <v>-22</v>
      </c>
      <c r="F247">
        <f t="shared" si="10"/>
        <v>22</v>
      </c>
      <c r="G247" s="8">
        <f t="shared" si="11"/>
        <v>0.88172043010752688</v>
      </c>
      <c r="H247" s="9">
        <f>C247*Assumptions!$B$2/(Assumptions!$B$5*60*Assumptions!$B$3)</f>
        <v>48.941176470588232</v>
      </c>
      <c r="I247">
        <f>ROUNDUP(H247/(1-Assumptions!$B$4),0)</f>
        <v>70</v>
      </c>
      <c r="J247" s="9">
        <f>D247*Assumptions!$B$2/(Assumptions!$B$5*60*Assumptions!$B$3)</f>
        <v>43.764705882352942</v>
      </c>
    </row>
    <row r="248" spans="1:10">
      <c r="A248" s="6">
        <v>46284</v>
      </c>
      <c r="B248" s="7">
        <v>46272.458333333336</v>
      </c>
      <c r="C248">
        <v>229</v>
      </c>
      <c r="D248">
        <v>217</v>
      </c>
      <c r="E248">
        <f t="shared" si="9"/>
        <v>-12</v>
      </c>
      <c r="F248">
        <f t="shared" si="10"/>
        <v>12</v>
      </c>
      <c r="G248" s="8">
        <f t="shared" si="11"/>
        <v>0.9447004608294931</v>
      </c>
      <c r="H248" s="9">
        <f>C248*Assumptions!$B$2/(Assumptions!$B$5*60*Assumptions!$B$3)</f>
        <v>53.882352941176471</v>
      </c>
      <c r="I248">
        <f>ROUNDUP(H248/(1-Assumptions!$B$4),0)</f>
        <v>77</v>
      </c>
      <c r="J248" s="9">
        <f>D248*Assumptions!$B$2/(Assumptions!$B$5*60*Assumptions!$B$3)</f>
        <v>51.058823529411768</v>
      </c>
    </row>
    <row r="249" spans="1:10">
      <c r="A249" s="6">
        <v>46284</v>
      </c>
      <c r="B249" s="7">
        <v>46272.479166666664</v>
      </c>
      <c r="C249">
        <v>215</v>
      </c>
      <c r="D249">
        <v>193</v>
      </c>
      <c r="E249">
        <f t="shared" si="9"/>
        <v>-22</v>
      </c>
      <c r="F249">
        <f t="shared" si="10"/>
        <v>22</v>
      </c>
      <c r="G249" s="8">
        <f t="shared" si="11"/>
        <v>0.88601036269430056</v>
      </c>
      <c r="H249" s="9">
        <f>C249*Assumptions!$B$2/(Assumptions!$B$5*60*Assumptions!$B$3)</f>
        <v>50.588235294117645</v>
      </c>
      <c r="I249">
        <f>ROUNDUP(H249/(1-Assumptions!$B$4),0)</f>
        <v>73</v>
      </c>
      <c r="J249" s="9">
        <f>D249*Assumptions!$B$2/(Assumptions!$B$5*60*Assumptions!$B$3)</f>
        <v>45.411764705882355</v>
      </c>
    </row>
    <row r="250" spans="1:10">
      <c r="A250" s="6">
        <v>46284</v>
      </c>
      <c r="B250" s="7">
        <v>46272.5</v>
      </c>
      <c r="C250">
        <v>186</v>
      </c>
      <c r="D250">
        <v>176</v>
      </c>
      <c r="E250">
        <f t="shared" si="9"/>
        <v>-10</v>
      </c>
      <c r="F250">
        <f t="shared" si="10"/>
        <v>10</v>
      </c>
      <c r="G250" s="8">
        <f t="shared" si="11"/>
        <v>0.94318181818181823</v>
      </c>
      <c r="H250" s="9">
        <f>C250*Assumptions!$B$2/(Assumptions!$B$5*60*Assumptions!$B$3)</f>
        <v>43.764705882352942</v>
      </c>
      <c r="I250">
        <f>ROUNDUP(H250/(1-Assumptions!$B$4),0)</f>
        <v>63</v>
      </c>
      <c r="J250" s="9">
        <f>D250*Assumptions!$B$2/(Assumptions!$B$5*60*Assumptions!$B$3)</f>
        <v>41.411764705882355</v>
      </c>
    </row>
    <row r="251" spans="1:10">
      <c r="A251" s="6">
        <v>46284</v>
      </c>
      <c r="B251" s="7">
        <v>46272.520833333336</v>
      </c>
      <c r="C251">
        <v>168</v>
      </c>
      <c r="D251">
        <v>185</v>
      </c>
      <c r="E251">
        <f t="shared" si="9"/>
        <v>17</v>
      </c>
      <c r="F251">
        <f t="shared" si="10"/>
        <v>17</v>
      </c>
      <c r="G251" s="8">
        <f t="shared" si="11"/>
        <v>0.90810810810810816</v>
      </c>
      <c r="H251" s="9">
        <f>C251*Assumptions!$B$2/(Assumptions!$B$5*60*Assumptions!$B$3)</f>
        <v>39.529411764705884</v>
      </c>
      <c r="I251">
        <f>ROUNDUP(H251/(1-Assumptions!$B$4),0)</f>
        <v>57</v>
      </c>
      <c r="J251" s="9">
        <f>D251*Assumptions!$B$2/(Assumptions!$B$5*60*Assumptions!$B$3)</f>
        <v>43.529411764705884</v>
      </c>
    </row>
    <row r="252" spans="1:10">
      <c r="A252" s="6">
        <v>46284</v>
      </c>
      <c r="B252" s="7">
        <v>46272.541666666664</v>
      </c>
      <c r="C252">
        <v>153</v>
      </c>
      <c r="D252">
        <v>164</v>
      </c>
      <c r="E252">
        <f t="shared" si="9"/>
        <v>11</v>
      </c>
      <c r="F252">
        <f t="shared" si="10"/>
        <v>11</v>
      </c>
      <c r="G252" s="8">
        <f t="shared" si="11"/>
        <v>0.93292682926829262</v>
      </c>
      <c r="H252" s="9">
        <f>C252*Assumptions!$B$2/(Assumptions!$B$5*60*Assumptions!$B$3)</f>
        <v>36</v>
      </c>
      <c r="I252">
        <f>ROUNDUP(H252/(1-Assumptions!$B$4),0)</f>
        <v>52</v>
      </c>
      <c r="J252" s="9">
        <f>D252*Assumptions!$B$2/(Assumptions!$B$5*60*Assumptions!$B$3)</f>
        <v>38.588235294117645</v>
      </c>
    </row>
    <row r="253" spans="1:10">
      <c r="A253" s="6">
        <v>46284</v>
      </c>
      <c r="B253" s="7">
        <v>46272.5625</v>
      </c>
      <c r="C253">
        <v>146</v>
      </c>
      <c r="D253">
        <v>140</v>
      </c>
      <c r="E253">
        <f t="shared" si="9"/>
        <v>-6</v>
      </c>
      <c r="F253">
        <f t="shared" si="10"/>
        <v>6</v>
      </c>
      <c r="G253" s="8">
        <f t="shared" si="11"/>
        <v>0.95714285714285718</v>
      </c>
      <c r="H253" s="9">
        <f>C253*Assumptions!$B$2/(Assumptions!$B$5*60*Assumptions!$B$3)</f>
        <v>34.352941176470587</v>
      </c>
      <c r="I253">
        <f>ROUNDUP(H253/(1-Assumptions!$B$4),0)</f>
        <v>50</v>
      </c>
      <c r="J253" s="9">
        <f>D253*Assumptions!$B$2/(Assumptions!$B$5*60*Assumptions!$B$3)</f>
        <v>32.941176470588232</v>
      </c>
    </row>
    <row r="254" spans="1:10">
      <c r="A254" s="6">
        <v>46284</v>
      </c>
      <c r="B254" s="7">
        <v>46272.583333333336</v>
      </c>
      <c r="C254">
        <v>166</v>
      </c>
      <c r="D254">
        <v>155</v>
      </c>
      <c r="E254">
        <f t="shared" si="9"/>
        <v>-11</v>
      </c>
      <c r="F254">
        <f t="shared" si="10"/>
        <v>11</v>
      </c>
      <c r="G254" s="8">
        <f t="shared" si="11"/>
        <v>0.92903225806451617</v>
      </c>
      <c r="H254" s="9">
        <f>C254*Assumptions!$B$2/(Assumptions!$B$5*60*Assumptions!$B$3)</f>
        <v>39.058823529411768</v>
      </c>
      <c r="I254">
        <f>ROUNDUP(H254/(1-Assumptions!$B$4),0)</f>
        <v>56</v>
      </c>
      <c r="J254" s="9">
        <f>D254*Assumptions!$B$2/(Assumptions!$B$5*60*Assumptions!$B$3)</f>
        <v>36.470588235294116</v>
      </c>
    </row>
    <row r="255" spans="1:10">
      <c r="A255" s="6">
        <v>46284</v>
      </c>
      <c r="B255" s="7">
        <v>46272.604166666664</v>
      </c>
      <c r="C255">
        <v>160</v>
      </c>
      <c r="D255">
        <v>143</v>
      </c>
      <c r="E255">
        <f t="shared" si="9"/>
        <v>-17</v>
      </c>
      <c r="F255">
        <f t="shared" si="10"/>
        <v>17</v>
      </c>
      <c r="G255" s="8">
        <f t="shared" si="11"/>
        <v>0.88111888111888115</v>
      </c>
      <c r="H255" s="9">
        <f>C255*Assumptions!$B$2/(Assumptions!$B$5*60*Assumptions!$B$3)</f>
        <v>37.647058823529413</v>
      </c>
      <c r="I255">
        <f>ROUNDUP(H255/(1-Assumptions!$B$4),0)</f>
        <v>54</v>
      </c>
      <c r="J255" s="9">
        <f>D255*Assumptions!$B$2/(Assumptions!$B$5*60*Assumptions!$B$3)</f>
        <v>33.647058823529413</v>
      </c>
    </row>
    <row r="256" spans="1:10">
      <c r="A256" s="6">
        <v>46284</v>
      </c>
      <c r="B256" s="7">
        <v>46272.625</v>
      </c>
      <c r="C256">
        <v>148</v>
      </c>
      <c r="D256">
        <v>137</v>
      </c>
      <c r="E256">
        <f t="shared" si="9"/>
        <v>-11</v>
      </c>
      <c r="F256">
        <f t="shared" si="10"/>
        <v>11</v>
      </c>
      <c r="G256" s="8">
        <f t="shared" si="11"/>
        <v>0.91970802919708028</v>
      </c>
      <c r="H256" s="9">
        <f>C256*Assumptions!$B$2/(Assumptions!$B$5*60*Assumptions!$B$3)</f>
        <v>34.823529411764703</v>
      </c>
      <c r="I256">
        <f>ROUNDUP(H256/(1-Assumptions!$B$4),0)</f>
        <v>50</v>
      </c>
      <c r="J256" s="9">
        <f>D256*Assumptions!$B$2/(Assumptions!$B$5*60*Assumptions!$B$3)</f>
        <v>32.235294117647058</v>
      </c>
    </row>
    <row r="257" spans="1:10">
      <c r="A257" s="6">
        <v>46284</v>
      </c>
      <c r="B257" s="7">
        <v>46272.645833333336</v>
      </c>
      <c r="C257">
        <v>137</v>
      </c>
      <c r="D257">
        <v>121</v>
      </c>
      <c r="E257">
        <f t="shared" si="9"/>
        <v>-16</v>
      </c>
      <c r="F257">
        <f t="shared" si="10"/>
        <v>16</v>
      </c>
      <c r="G257" s="8">
        <f t="shared" si="11"/>
        <v>0.86776859504132231</v>
      </c>
      <c r="H257" s="9">
        <f>C257*Assumptions!$B$2/(Assumptions!$B$5*60*Assumptions!$B$3)</f>
        <v>32.235294117647058</v>
      </c>
      <c r="I257">
        <f>ROUNDUP(H257/(1-Assumptions!$B$4),0)</f>
        <v>47</v>
      </c>
      <c r="J257" s="9">
        <f>D257*Assumptions!$B$2/(Assumptions!$B$5*60*Assumptions!$B$3)</f>
        <v>28.470588235294116</v>
      </c>
    </row>
    <row r="258" spans="1:10">
      <c r="A258" s="6">
        <v>46284</v>
      </c>
      <c r="B258" s="7">
        <v>46272.666666666664</v>
      </c>
      <c r="C258">
        <v>126</v>
      </c>
      <c r="D258">
        <v>136</v>
      </c>
      <c r="E258">
        <f t="shared" ref="E258:E321" si="12">D258-C258</f>
        <v>10</v>
      </c>
      <c r="F258">
        <f t="shared" ref="F258:F321" si="13">ABS(E258)</f>
        <v>10</v>
      </c>
      <c r="G258" s="8">
        <f t="shared" ref="G258:G321" si="14">IFERROR(1-F258/D258,0)</f>
        <v>0.92647058823529416</v>
      </c>
      <c r="H258" s="9">
        <f>C258*Assumptions!$B$2/(Assumptions!$B$5*60*Assumptions!$B$3)</f>
        <v>29.647058823529413</v>
      </c>
      <c r="I258">
        <f>ROUNDUP(H258/(1-Assumptions!$B$4),0)</f>
        <v>43</v>
      </c>
      <c r="J258" s="9">
        <f>D258*Assumptions!$B$2/(Assumptions!$B$5*60*Assumptions!$B$3)</f>
        <v>32</v>
      </c>
    </row>
    <row r="259" spans="1:10">
      <c r="A259" s="6">
        <v>46284</v>
      </c>
      <c r="B259" s="7">
        <v>46272.6875</v>
      </c>
      <c r="C259">
        <v>113</v>
      </c>
      <c r="D259">
        <v>107</v>
      </c>
      <c r="E259">
        <f t="shared" si="12"/>
        <v>-6</v>
      </c>
      <c r="F259">
        <f t="shared" si="13"/>
        <v>6</v>
      </c>
      <c r="G259" s="8">
        <f t="shared" si="14"/>
        <v>0.94392523364485981</v>
      </c>
      <c r="H259" s="9">
        <f>C259*Assumptions!$B$2/(Assumptions!$B$5*60*Assumptions!$B$3)</f>
        <v>26.588235294117649</v>
      </c>
      <c r="I259">
        <f>ROUNDUP(H259/(1-Assumptions!$B$4),0)</f>
        <v>38</v>
      </c>
      <c r="J259" s="9">
        <f>D259*Assumptions!$B$2/(Assumptions!$B$5*60*Assumptions!$B$3)</f>
        <v>25.176470588235293</v>
      </c>
    </row>
    <row r="260" spans="1:10">
      <c r="A260" s="6">
        <v>46284</v>
      </c>
      <c r="B260" s="7">
        <v>46272.708333333336</v>
      </c>
      <c r="C260">
        <v>111</v>
      </c>
      <c r="D260">
        <v>120</v>
      </c>
      <c r="E260">
        <f t="shared" si="12"/>
        <v>9</v>
      </c>
      <c r="F260">
        <f t="shared" si="13"/>
        <v>9</v>
      </c>
      <c r="G260" s="8">
        <f t="shared" si="14"/>
        <v>0.92500000000000004</v>
      </c>
      <c r="H260" s="9">
        <f>C260*Assumptions!$B$2/(Assumptions!$B$5*60*Assumptions!$B$3)</f>
        <v>26.117647058823529</v>
      </c>
      <c r="I260">
        <f>ROUNDUP(H260/(1-Assumptions!$B$4),0)</f>
        <v>38</v>
      </c>
      <c r="J260" s="9">
        <f>D260*Assumptions!$B$2/(Assumptions!$B$5*60*Assumptions!$B$3)</f>
        <v>28.235294117647058</v>
      </c>
    </row>
    <row r="261" spans="1:10">
      <c r="A261" s="6">
        <v>46284</v>
      </c>
      <c r="B261" s="7">
        <v>46272.729166666664</v>
      </c>
      <c r="C261">
        <v>95</v>
      </c>
      <c r="D261">
        <v>97</v>
      </c>
      <c r="E261">
        <f t="shared" si="12"/>
        <v>2</v>
      </c>
      <c r="F261">
        <f t="shared" si="13"/>
        <v>2</v>
      </c>
      <c r="G261" s="8">
        <f t="shared" si="14"/>
        <v>0.97938144329896903</v>
      </c>
      <c r="H261" s="9">
        <f>C261*Assumptions!$B$2/(Assumptions!$B$5*60*Assumptions!$B$3)</f>
        <v>22.352941176470587</v>
      </c>
      <c r="I261">
        <f>ROUNDUP(H261/(1-Assumptions!$B$4),0)</f>
        <v>32</v>
      </c>
      <c r="J261" s="9">
        <f>D261*Assumptions!$B$2/(Assumptions!$B$5*60*Assumptions!$B$3)</f>
        <v>22.823529411764707</v>
      </c>
    </row>
    <row r="262" spans="1:10">
      <c r="A262" s="6">
        <v>46285</v>
      </c>
      <c r="B262" s="7">
        <v>46272.333333333336</v>
      </c>
      <c r="C262">
        <v>66</v>
      </c>
      <c r="D262">
        <v>63</v>
      </c>
      <c r="E262">
        <f t="shared" si="12"/>
        <v>-3</v>
      </c>
      <c r="F262">
        <f t="shared" si="13"/>
        <v>3</v>
      </c>
      <c r="G262" s="8">
        <f t="shared" si="14"/>
        <v>0.95238095238095233</v>
      </c>
      <c r="H262" s="9">
        <f>C262*Assumptions!$B$2/(Assumptions!$B$5*60*Assumptions!$B$3)</f>
        <v>15.529411764705882</v>
      </c>
      <c r="I262">
        <f>ROUNDUP(H262/(1-Assumptions!$B$4),0)</f>
        <v>23</v>
      </c>
      <c r="J262" s="9">
        <f>D262*Assumptions!$B$2/(Assumptions!$B$5*60*Assumptions!$B$3)</f>
        <v>14.823529411764707</v>
      </c>
    </row>
    <row r="263" spans="1:10">
      <c r="A263" s="6">
        <v>46285</v>
      </c>
      <c r="B263" s="7">
        <v>46272.354166666664</v>
      </c>
      <c r="C263">
        <v>93</v>
      </c>
      <c r="D263">
        <v>100</v>
      </c>
      <c r="E263">
        <f t="shared" si="12"/>
        <v>7</v>
      </c>
      <c r="F263">
        <f t="shared" si="13"/>
        <v>7</v>
      </c>
      <c r="G263" s="8">
        <f t="shared" si="14"/>
        <v>0.92999999999999994</v>
      </c>
      <c r="H263" s="9">
        <f>C263*Assumptions!$B$2/(Assumptions!$B$5*60*Assumptions!$B$3)</f>
        <v>21.882352941176471</v>
      </c>
      <c r="I263">
        <f>ROUNDUP(H263/(1-Assumptions!$B$4),0)</f>
        <v>32</v>
      </c>
      <c r="J263" s="9">
        <f>D263*Assumptions!$B$2/(Assumptions!$B$5*60*Assumptions!$B$3)</f>
        <v>23.529411764705884</v>
      </c>
    </row>
    <row r="264" spans="1:10">
      <c r="A264" s="6">
        <v>46285</v>
      </c>
      <c r="B264" s="7">
        <v>46272.375</v>
      </c>
      <c r="C264">
        <v>123</v>
      </c>
      <c r="D264">
        <v>111</v>
      </c>
      <c r="E264">
        <f t="shared" si="12"/>
        <v>-12</v>
      </c>
      <c r="F264">
        <f t="shared" si="13"/>
        <v>12</v>
      </c>
      <c r="G264" s="8">
        <f t="shared" si="14"/>
        <v>0.89189189189189189</v>
      </c>
      <c r="H264" s="9">
        <f>C264*Assumptions!$B$2/(Assumptions!$B$5*60*Assumptions!$B$3)</f>
        <v>28.941176470588236</v>
      </c>
      <c r="I264">
        <f>ROUNDUP(H264/(1-Assumptions!$B$4),0)</f>
        <v>42</v>
      </c>
      <c r="J264" s="9">
        <f>D264*Assumptions!$B$2/(Assumptions!$B$5*60*Assumptions!$B$3)</f>
        <v>26.117647058823529</v>
      </c>
    </row>
    <row r="265" spans="1:10">
      <c r="A265" s="6">
        <v>46285</v>
      </c>
      <c r="B265" s="7">
        <v>46272.395833333336</v>
      </c>
      <c r="C265">
        <v>149</v>
      </c>
      <c r="D265">
        <v>160</v>
      </c>
      <c r="E265">
        <f t="shared" si="12"/>
        <v>11</v>
      </c>
      <c r="F265">
        <f t="shared" si="13"/>
        <v>11</v>
      </c>
      <c r="G265" s="8">
        <f t="shared" si="14"/>
        <v>0.93125000000000002</v>
      </c>
      <c r="H265" s="9">
        <f>C265*Assumptions!$B$2/(Assumptions!$B$5*60*Assumptions!$B$3)</f>
        <v>35.058823529411768</v>
      </c>
      <c r="I265">
        <f>ROUNDUP(H265/(1-Assumptions!$B$4),0)</f>
        <v>51</v>
      </c>
      <c r="J265" s="9">
        <f>D265*Assumptions!$B$2/(Assumptions!$B$5*60*Assumptions!$B$3)</f>
        <v>37.647058823529413</v>
      </c>
    </row>
    <row r="266" spans="1:10">
      <c r="A266" s="6">
        <v>46285</v>
      </c>
      <c r="B266" s="7">
        <v>46272.416666666664</v>
      </c>
      <c r="C266">
        <v>175</v>
      </c>
      <c r="D266">
        <v>159</v>
      </c>
      <c r="E266">
        <f t="shared" si="12"/>
        <v>-16</v>
      </c>
      <c r="F266">
        <f t="shared" si="13"/>
        <v>16</v>
      </c>
      <c r="G266" s="8">
        <f t="shared" si="14"/>
        <v>0.89937106918238996</v>
      </c>
      <c r="H266" s="9">
        <f>C266*Assumptions!$B$2/(Assumptions!$B$5*60*Assumptions!$B$3)</f>
        <v>41.176470588235297</v>
      </c>
      <c r="I266">
        <f>ROUNDUP(H266/(1-Assumptions!$B$4),0)</f>
        <v>59</v>
      </c>
      <c r="J266" s="9">
        <f>D266*Assumptions!$B$2/(Assumptions!$B$5*60*Assumptions!$B$3)</f>
        <v>37.411764705882355</v>
      </c>
    </row>
    <row r="267" spans="1:10">
      <c r="A267" s="6">
        <v>46285</v>
      </c>
      <c r="B267" s="7">
        <v>46272.4375</v>
      </c>
      <c r="C267">
        <v>208</v>
      </c>
      <c r="D267">
        <v>202</v>
      </c>
      <c r="E267">
        <f t="shared" si="12"/>
        <v>-6</v>
      </c>
      <c r="F267">
        <f t="shared" si="13"/>
        <v>6</v>
      </c>
      <c r="G267" s="8">
        <f t="shared" si="14"/>
        <v>0.97029702970297027</v>
      </c>
      <c r="H267" s="9">
        <f>C267*Assumptions!$B$2/(Assumptions!$B$5*60*Assumptions!$B$3)</f>
        <v>48.941176470588232</v>
      </c>
      <c r="I267">
        <f>ROUNDUP(H267/(1-Assumptions!$B$4),0)</f>
        <v>70</v>
      </c>
      <c r="J267" s="9">
        <f>D267*Assumptions!$B$2/(Assumptions!$B$5*60*Assumptions!$B$3)</f>
        <v>47.529411764705884</v>
      </c>
    </row>
    <row r="268" spans="1:10">
      <c r="A268" s="6">
        <v>46285</v>
      </c>
      <c r="B268" s="7">
        <v>46272.458333333336</v>
      </c>
      <c r="C268">
        <v>213</v>
      </c>
      <c r="D268">
        <v>220</v>
      </c>
      <c r="E268">
        <f t="shared" si="12"/>
        <v>7</v>
      </c>
      <c r="F268">
        <f t="shared" si="13"/>
        <v>7</v>
      </c>
      <c r="G268" s="8">
        <f t="shared" si="14"/>
        <v>0.96818181818181814</v>
      </c>
      <c r="H268" s="9">
        <f>C268*Assumptions!$B$2/(Assumptions!$B$5*60*Assumptions!$B$3)</f>
        <v>50.117647058823529</v>
      </c>
      <c r="I268">
        <f>ROUNDUP(H268/(1-Assumptions!$B$4),0)</f>
        <v>72</v>
      </c>
      <c r="J268" s="9">
        <f>D268*Assumptions!$B$2/(Assumptions!$B$5*60*Assumptions!$B$3)</f>
        <v>51.764705882352942</v>
      </c>
    </row>
    <row r="269" spans="1:10">
      <c r="A269" s="6">
        <v>46285</v>
      </c>
      <c r="B269" s="7">
        <v>46272.479166666664</v>
      </c>
      <c r="C269">
        <v>196</v>
      </c>
      <c r="D269">
        <v>175</v>
      </c>
      <c r="E269">
        <f t="shared" si="12"/>
        <v>-21</v>
      </c>
      <c r="F269">
        <f t="shared" si="13"/>
        <v>21</v>
      </c>
      <c r="G269" s="8">
        <f t="shared" si="14"/>
        <v>0.88</v>
      </c>
      <c r="H269" s="9">
        <f>C269*Assumptions!$B$2/(Assumptions!$B$5*60*Assumptions!$B$3)</f>
        <v>46.117647058823529</v>
      </c>
      <c r="I269">
        <f>ROUNDUP(H269/(1-Assumptions!$B$4),0)</f>
        <v>66</v>
      </c>
      <c r="J269" s="9">
        <f>D269*Assumptions!$B$2/(Assumptions!$B$5*60*Assumptions!$B$3)</f>
        <v>41.176470588235297</v>
      </c>
    </row>
    <row r="270" spans="1:10">
      <c r="A270" s="6">
        <v>46285</v>
      </c>
      <c r="B270" s="7">
        <v>46272.5</v>
      </c>
      <c r="C270">
        <v>195</v>
      </c>
      <c r="D270">
        <v>201</v>
      </c>
      <c r="E270">
        <f t="shared" si="12"/>
        <v>6</v>
      </c>
      <c r="F270">
        <f t="shared" si="13"/>
        <v>6</v>
      </c>
      <c r="G270" s="8">
        <f t="shared" si="14"/>
        <v>0.97014925373134331</v>
      </c>
      <c r="H270" s="9">
        <f>C270*Assumptions!$B$2/(Assumptions!$B$5*60*Assumptions!$B$3)</f>
        <v>45.882352941176471</v>
      </c>
      <c r="I270">
        <f>ROUNDUP(H270/(1-Assumptions!$B$4),0)</f>
        <v>66</v>
      </c>
      <c r="J270" s="9">
        <f>D270*Assumptions!$B$2/(Assumptions!$B$5*60*Assumptions!$B$3)</f>
        <v>47.294117647058826</v>
      </c>
    </row>
    <row r="271" spans="1:10">
      <c r="A271" s="6">
        <v>46285</v>
      </c>
      <c r="B271" s="7">
        <v>46272.520833333336</v>
      </c>
      <c r="C271">
        <v>155</v>
      </c>
      <c r="D271">
        <v>137</v>
      </c>
      <c r="E271">
        <f t="shared" si="12"/>
        <v>-18</v>
      </c>
      <c r="F271">
        <f t="shared" si="13"/>
        <v>18</v>
      </c>
      <c r="G271" s="8">
        <f t="shared" si="14"/>
        <v>0.86861313868613133</v>
      </c>
      <c r="H271" s="9">
        <f>C271*Assumptions!$B$2/(Assumptions!$B$5*60*Assumptions!$B$3)</f>
        <v>36.470588235294116</v>
      </c>
      <c r="I271">
        <f>ROUNDUP(H271/(1-Assumptions!$B$4),0)</f>
        <v>53</v>
      </c>
      <c r="J271" s="9">
        <f>D271*Assumptions!$B$2/(Assumptions!$B$5*60*Assumptions!$B$3)</f>
        <v>32.235294117647058</v>
      </c>
    </row>
    <row r="272" spans="1:10">
      <c r="A272" s="6">
        <v>46285</v>
      </c>
      <c r="B272" s="7">
        <v>46272.541666666664</v>
      </c>
      <c r="C272">
        <v>150</v>
      </c>
      <c r="D272">
        <v>134</v>
      </c>
      <c r="E272">
        <f t="shared" si="12"/>
        <v>-16</v>
      </c>
      <c r="F272">
        <f t="shared" si="13"/>
        <v>16</v>
      </c>
      <c r="G272" s="8">
        <f t="shared" si="14"/>
        <v>0.88059701492537312</v>
      </c>
      <c r="H272" s="9">
        <f>C272*Assumptions!$B$2/(Assumptions!$B$5*60*Assumptions!$B$3)</f>
        <v>35.294117647058826</v>
      </c>
      <c r="I272">
        <f>ROUNDUP(H272/(1-Assumptions!$B$4),0)</f>
        <v>51</v>
      </c>
      <c r="J272" s="9">
        <f>D272*Assumptions!$B$2/(Assumptions!$B$5*60*Assumptions!$B$3)</f>
        <v>31.529411764705884</v>
      </c>
    </row>
    <row r="273" spans="1:10">
      <c r="A273" s="6">
        <v>46285</v>
      </c>
      <c r="B273" s="7">
        <v>46272.5625</v>
      </c>
      <c r="C273">
        <v>153</v>
      </c>
      <c r="D273">
        <v>151</v>
      </c>
      <c r="E273">
        <f t="shared" si="12"/>
        <v>-2</v>
      </c>
      <c r="F273">
        <f t="shared" si="13"/>
        <v>2</v>
      </c>
      <c r="G273" s="8">
        <f t="shared" si="14"/>
        <v>0.98675496688741726</v>
      </c>
      <c r="H273" s="9">
        <f>C273*Assumptions!$B$2/(Assumptions!$B$5*60*Assumptions!$B$3)</f>
        <v>36</v>
      </c>
      <c r="I273">
        <f>ROUNDUP(H273/(1-Assumptions!$B$4),0)</f>
        <v>52</v>
      </c>
      <c r="J273" s="9">
        <f>D273*Assumptions!$B$2/(Assumptions!$B$5*60*Assumptions!$B$3)</f>
        <v>35.529411764705884</v>
      </c>
    </row>
    <row r="274" spans="1:10">
      <c r="A274" s="6">
        <v>46285</v>
      </c>
      <c r="B274" s="7">
        <v>46272.583333333336</v>
      </c>
      <c r="C274">
        <v>164</v>
      </c>
      <c r="D274">
        <v>170</v>
      </c>
      <c r="E274">
        <f t="shared" si="12"/>
        <v>6</v>
      </c>
      <c r="F274">
        <f t="shared" si="13"/>
        <v>6</v>
      </c>
      <c r="G274" s="8">
        <f t="shared" si="14"/>
        <v>0.96470588235294119</v>
      </c>
      <c r="H274" s="9">
        <f>C274*Assumptions!$B$2/(Assumptions!$B$5*60*Assumptions!$B$3)</f>
        <v>38.588235294117645</v>
      </c>
      <c r="I274">
        <f>ROUNDUP(H274/(1-Assumptions!$B$4),0)</f>
        <v>56</v>
      </c>
      <c r="J274" s="9">
        <f>D274*Assumptions!$B$2/(Assumptions!$B$5*60*Assumptions!$B$3)</f>
        <v>40</v>
      </c>
    </row>
    <row r="275" spans="1:10">
      <c r="A275" s="6">
        <v>46285</v>
      </c>
      <c r="B275" s="7">
        <v>46272.604166666664</v>
      </c>
      <c r="C275">
        <v>167</v>
      </c>
      <c r="D275">
        <v>164</v>
      </c>
      <c r="E275">
        <f t="shared" si="12"/>
        <v>-3</v>
      </c>
      <c r="F275">
        <f t="shared" si="13"/>
        <v>3</v>
      </c>
      <c r="G275" s="8">
        <f t="shared" si="14"/>
        <v>0.98170731707317072</v>
      </c>
      <c r="H275" s="9">
        <f>C275*Assumptions!$B$2/(Assumptions!$B$5*60*Assumptions!$B$3)</f>
        <v>39.294117647058826</v>
      </c>
      <c r="I275">
        <f>ROUNDUP(H275/(1-Assumptions!$B$4),0)</f>
        <v>57</v>
      </c>
      <c r="J275" s="9">
        <f>D275*Assumptions!$B$2/(Assumptions!$B$5*60*Assumptions!$B$3)</f>
        <v>38.588235294117645</v>
      </c>
    </row>
    <row r="276" spans="1:10">
      <c r="A276" s="6">
        <v>46285</v>
      </c>
      <c r="B276" s="7">
        <v>46272.625</v>
      </c>
      <c r="C276">
        <v>152</v>
      </c>
      <c r="D276">
        <v>151</v>
      </c>
      <c r="E276">
        <f t="shared" si="12"/>
        <v>-1</v>
      </c>
      <c r="F276">
        <f t="shared" si="13"/>
        <v>1</v>
      </c>
      <c r="G276" s="8">
        <f t="shared" si="14"/>
        <v>0.99337748344370858</v>
      </c>
      <c r="H276" s="9">
        <f>C276*Assumptions!$B$2/(Assumptions!$B$5*60*Assumptions!$B$3)</f>
        <v>35.764705882352942</v>
      </c>
      <c r="I276">
        <f>ROUNDUP(H276/(1-Assumptions!$B$4),0)</f>
        <v>52</v>
      </c>
      <c r="J276" s="9">
        <f>D276*Assumptions!$B$2/(Assumptions!$B$5*60*Assumptions!$B$3)</f>
        <v>35.529411764705884</v>
      </c>
    </row>
    <row r="277" spans="1:10">
      <c r="A277" s="6">
        <v>46285</v>
      </c>
      <c r="B277" s="7">
        <v>46272.645833333336</v>
      </c>
      <c r="C277">
        <v>132</v>
      </c>
      <c r="D277">
        <v>131</v>
      </c>
      <c r="E277">
        <f t="shared" si="12"/>
        <v>-1</v>
      </c>
      <c r="F277">
        <f t="shared" si="13"/>
        <v>1</v>
      </c>
      <c r="G277" s="8">
        <f t="shared" si="14"/>
        <v>0.99236641221374045</v>
      </c>
      <c r="H277" s="9">
        <f>C277*Assumptions!$B$2/(Assumptions!$B$5*60*Assumptions!$B$3)</f>
        <v>31.058823529411764</v>
      </c>
      <c r="I277">
        <f>ROUNDUP(H277/(1-Assumptions!$B$4),0)</f>
        <v>45</v>
      </c>
      <c r="J277" s="9">
        <f>D277*Assumptions!$B$2/(Assumptions!$B$5*60*Assumptions!$B$3)</f>
        <v>30.823529411764707</v>
      </c>
    </row>
    <row r="278" spans="1:10">
      <c r="A278" s="6">
        <v>46285</v>
      </c>
      <c r="B278" s="7">
        <v>46272.666666666664</v>
      </c>
      <c r="C278">
        <v>118</v>
      </c>
      <c r="D278">
        <v>112</v>
      </c>
      <c r="E278">
        <f t="shared" si="12"/>
        <v>-6</v>
      </c>
      <c r="F278">
        <f t="shared" si="13"/>
        <v>6</v>
      </c>
      <c r="G278" s="8">
        <f t="shared" si="14"/>
        <v>0.9464285714285714</v>
      </c>
      <c r="H278" s="9">
        <f>C278*Assumptions!$B$2/(Assumptions!$B$5*60*Assumptions!$B$3)</f>
        <v>27.764705882352942</v>
      </c>
      <c r="I278">
        <f>ROUNDUP(H278/(1-Assumptions!$B$4),0)</f>
        <v>40</v>
      </c>
      <c r="J278" s="9">
        <f>D278*Assumptions!$B$2/(Assumptions!$B$5*60*Assumptions!$B$3)</f>
        <v>26.352941176470587</v>
      </c>
    </row>
    <row r="279" spans="1:10">
      <c r="A279" s="6">
        <v>46285</v>
      </c>
      <c r="B279" s="7">
        <v>46272.6875</v>
      </c>
      <c r="C279">
        <v>109</v>
      </c>
      <c r="D279">
        <v>118</v>
      </c>
      <c r="E279">
        <f t="shared" si="12"/>
        <v>9</v>
      </c>
      <c r="F279">
        <f t="shared" si="13"/>
        <v>9</v>
      </c>
      <c r="G279" s="8">
        <f t="shared" si="14"/>
        <v>0.92372881355932202</v>
      </c>
      <c r="H279" s="9">
        <f>C279*Assumptions!$B$2/(Assumptions!$B$5*60*Assumptions!$B$3)</f>
        <v>25.647058823529413</v>
      </c>
      <c r="I279">
        <f>ROUNDUP(H279/(1-Assumptions!$B$4),0)</f>
        <v>37</v>
      </c>
      <c r="J279" s="9">
        <f>D279*Assumptions!$B$2/(Assumptions!$B$5*60*Assumptions!$B$3)</f>
        <v>27.764705882352942</v>
      </c>
    </row>
    <row r="280" spans="1:10">
      <c r="A280" s="6">
        <v>46285</v>
      </c>
      <c r="B280" s="7">
        <v>46272.708333333336</v>
      </c>
      <c r="C280">
        <v>103</v>
      </c>
      <c r="D280">
        <v>104</v>
      </c>
      <c r="E280">
        <f t="shared" si="12"/>
        <v>1</v>
      </c>
      <c r="F280">
        <f t="shared" si="13"/>
        <v>1</v>
      </c>
      <c r="G280" s="8">
        <f t="shared" si="14"/>
        <v>0.99038461538461542</v>
      </c>
      <c r="H280" s="9">
        <f>C280*Assumptions!$B$2/(Assumptions!$B$5*60*Assumptions!$B$3)</f>
        <v>24.235294117647058</v>
      </c>
      <c r="I280">
        <f>ROUNDUP(H280/(1-Assumptions!$B$4),0)</f>
        <v>35</v>
      </c>
      <c r="J280" s="9">
        <f>D280*Assumptions!$B$2/(Assumptions!$B$5*60*Assumptions!$B$3)</f>
        <v>24.470588235294116</v>
      </c>
    </row>
    <row r="281" spans="1:10">
      <c r="A281" s="6">
        <v>46285</v>
      </c>
      <c r="B281" s="7">
        <v>46272.729166666664</v>
      </c>
      <c r="C281">
        <v>95</v>
      </c>
      <c r="D281">
        <v>97</v>
      </c>
      <c r="E281">
        <f t="shared" si="12"/>
        <v>2</v>
      </c>
      <c r="F281">
        <f t="shared" si="13"/>
        <v>2</v>
      </c>
      <c r="G281" s="8">
        <f t="shared" si="14"/>
        <v>0.97938144329896903</v>
      </c>
      <c r="H281" s="9">
        <f>C281*Assumptions!$B$2/(Assumptions!$B$5*60*Assumptions!$B$3)</f>
        <v>22.352941176470587</v>
      </c>
      <c r="I281">
        <f>ROUNDUP(H281/(1-Assumptions!$B$4),0)</f>
        <v>32</v>
      </c>
      <c r="J281" s="9">
        <f>D281*Assumptions!$B$2/(Assumptions!$B$5*60*Assumptions!$B$3)</f>
        <v>22.823529411764707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8"/>
    </sheetView>
  </sheetViews>
  <sheetFormatPr baseColWidth="10" defaultColWidth="8.83203125" defaultRowHeight="15"/>
  <cols>
    <col min="1" max="2" width="33" customWidth="1"/>
  </cols>
  <sheetData>
    <row r="1" spans="1:2" ht="37.25" customHeight="1">
      <c r="A1" s="2" t="s">
        <v>38</v>
      </c>
      <c r="B1" s="2" t="s">
        <v>39</v>
      </c>
    </row>
    <row r="2" spans="1:2">
      <c r="A2" t="s">
        <v>40</v>
      </c>
      <c r="B2">
        <v>360</v>
      </c>
    </row>
    <row r="3" spans="1:2">
      <c r="A3" t="s">
        <v>41</v>
      </c>
      <c r="B3" s="1">
        <v>0.85</v>
      </c>
    </row>
    <row r="4" spans="1:2">
      <c r="A4" t="s">
        <v>42</v>
      </c>
      <c r="B4" s="1">
        <v>0.3</v>
      </c>
    </row>
    <row r="5" spans="1:2">
      <c r="A5" t="s">
        <v>43</v>
      </c>
      <c r="B5">
        <v>30</v>
      </c>
    </row>
    <row r="6" spans="1:2">
      <c r="A6" t="s">
        <v>44</v>
      </c>
      <c r="B6">
        <v>10</v>
      </c>
    </row>
    <row r="7" spans="1:2">
      <c r="A7" t="s">
        <v>45</v>
      </c>
      <c r="B7">
        <v>14</v>
      </c>
    </row>
    <row r="8" spans="1:2">
      <c r="A8" t="s">
        <v>46</v>
      </c>
      <c r="B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Dashboard</vt:lpstr>
      <vt:lpstr>Daily Forecast</vt:lpstr>
      <vt:lpstr>30-Min Intervals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Bordelon</cp:lastModifiedBy>
  <dcterms:created xsi:type="dcterms:W3CDTF">2026-10-22T15:52:19Z</dcterms:created>
  <dcterms:modified xsi:type="dcterms:W3CDTF">2026-10-22T15:52:19Z</dcterms:modified>
</cp:coreProperties>
</file>